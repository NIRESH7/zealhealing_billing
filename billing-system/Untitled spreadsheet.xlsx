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- 26" sheetId="1" r:id="rId5"/>
  </sheets>
  <definedNames/>
  <calcPr/>
</workbook>
</file>

<file path=xl/sharedStrings.xml><?xml version="1.0" encoding="utf-8"?>
<sst xmlns="http://schemas.openxmlformats.org/spreadsheetml/2006/main" count="1379" uniqueCount="1135">
  <si>
    <t xml:space="preserve">date </t>
  </si>
  <si>
    <t xml:space="preserve">Name </t>
  </si>
  <si>
    <t>CONTACT NO</t>
  </si>
  <si>
    <t>Transaction ID</t>
  </si>
  <si>
    <t>Amount</t>
  </si>
  <si>
    <t>Details</t>
  </si>
  <si>
    <t>Anu</t>
  </si>
  <si>
    <t xml:space="preserve"> 5months brahma mugurtham</t>
  </si>
  <si>
    <t>Sangeetha - +91 -</t>
  </si>
  <si>
    <t xml:space="preserve">98408 30162 </t>
  </si>
  <si>
    <t xml:space="preserve"> Reiki level 2</t>
  </si>
  <si>
    <t>Vidya (Kokila) --</t>
  </si>
  <si>
    <t>zibu crystal cambo -1</t>
  </si>
  <si>
    <t xml:space="preserve">Selvi -  - </t>
  </si>
  <si>
    <t>reiki level -2</t>
  </si>
  <si>
    <t>chinnavairavan</t>
  </si>
  <si>
    <t xml:space="preserve">85310 65476 </t>
  </si>
  <si>
    <t xml:space="preserve"> simma rasi bracelet - 1</t>
  </si>
  <si>
    <t>Malarvizhi Kumaran</t>
  </si>
  <si>
    <t>642690873628
642687690429</t>
  </si>
  <si>
    <t>-reki leve 2</t>
  </si>
  <si>
    <t>Raji - -</t>
  </si>
  <si>
    <t xml:space="preserve"> Zibu combo crystal - 1</t>
  </si>
  <si>
    <t>;</t>
  </si>
  <si>
    <t>sindhu</t>
  </si>
  <si>
    <t>119327376109
119327427928</t>
  </si>
  <si>
    <t>reiki level 2</t>
  </si>
  <si>
    <t xml:space="preserve">Sowmiyalakshmi - - </t>
  </si>
  <si>
    <t>71004604903
039133024619</t>
  </si>
  <si>
    <t>Reiki level 2</t>
  </si>
  <si>
    <t xml:space="preserve">Mathuraveeran - +91 </t>
  </si>
  <si>
    <t>63814 51429</t>
  </si>
  <si>
    <t>Money magnet bracelet and
 7 chakra bracelet</t>
  </si>
  <si>
    <t xml:space="preserve">Meena kumar - +91- </t>
  </si>
  <si>
    <t xml:space="preserve"> 98842 86037 </t>
  </si>
  <si>
    <t>15min</t>
  </si>
  <si>
    <t>Varatharaj</t>
  </si>
  <si>
    <t xml:space="preserve">  15min</t>
  </si>
  <si>
    <t>Krishnavini--</t>
  </si>
  <si>
    <t>95005 27486</t>
  </si>
  <si>
    <t>119332273648
119332294303</t>
  </si>
  <si>
    <t xml:space="preserve">Manju - +91 - </t>
  </si>
  <si>
    <t>9108572952
606061206951</t>
  </si>
  <si>
    <t>Reiki Level 2</t>
  </si>
  <si>
    <t xml:space="preserve"> - Anbarasi </t>
  </si>
  <si>
    <t xml:space="preserve"> Thulam rasi Bracelet -1</t>
  </si>
  <si>
    <t>Luxmi prabha - +91  -</t>
  </si>
  <si>
    <t>93632 34677</t>
  </si>
  <si>
    <t xml:space="preserve"> zibu crystal combo</t>
  </si>
  <si>
    <t xml:space="preserve">Geethavani +91 - </t>
  </si>
  <si>
    <t>Lamafera Certificate</t>
  </si>
  <si>
    <t xml:space="preserve">Chamundeswari </t>
  </si>
  <si>
    <t xml:space="preserve"> Kanni raasi bracelet 1</t>
  </si>
  <si>
    <t xml:space="preserve">Pushpa  - +91 - </t>
  </si>
  <si>
    <t>Reiki level -2</t>
  </si>
  <si>
    <t xml:space="preserve">Muthalagan - </t>
  </si>
  <si>
    <t>65 8163 1976</t>
  </si>
  <si>
    <t>Zibu crystal combo - 3
 Shipping charges -3500</t>
  </si>
  <si>
    <t xml:space="preserve">Hema - +91 - </t>
  </si>
  <si>
    <t>119355674399
119355891423</t>
  </si>
  <si>
    <t xml:space="preserve">Punitha - 91 - </t>
  </si>
  <si>
    <t>level 2</t>
  </si>
  <si>
    <t>chitra - +91 -</t>
  </si>
  <si>
    <t xml:space="preserve"> level 2</t>
  </si>
  <si>
    <t xml:space="preserve">Hrishikesan - +91 - </t>
  </si>
  <si>
    <t>Zibu crystal -1</t>
  </si>
  <si>
    <t xml:space="preserve"> - rajalakshmi -</t>
  </si>
  <si>
    <t xml:space="preserve"> maheshwaran </t>
  </si>
  <si>
    <t>72001 89404</t>
  </si>
  <si>
    <t>15min appointment</t>
  </si>
  <si>
    <t>Sarmila -+</t>
  </si>
  <si>
    <t>1 (647) 808-3264</t>
  </si>
  <si>
    <t>Kadagam rasi bracelet - 1
Lava chakra bracelet -1
Shopping charge  4600rs</t>
  </si>
  <si>
    <t xml:space="preserve">Nagappan - +91  - </t>
  </si>
  <si>
    <t>82486 62278</t>
  </si>
  <si>
    <t>50ml medicine (5)</t>
  </si>
  <si>
    <t>shalini</t>
  </si>
  <si>
    <t xml:space="preserve">Lakshmi - - </t>
  </si>
  <si>
    <t xml:space="preserve"> - Mynavathi</t>
  </si>
  <si>
    <t>63820 98870</t>
  </si>
  <si>
    <t>Zibu combo crystal -1</t>
  </si>
  <si>
    <t xml:space="preserve"> - Hema</t>
  </si>
  <si>
    <t>(908) 240-0054</t>
  </si>
  <si>
    <t xml:space="preserve">Gayathri </t>
  </si>
  <si>
    <t xml:space="preserve">77108 02268 </t>
  </si>
  <si>
    <t>606171256210
606174653939</t>
  </si>
  <si>
    <t xml:space="preserve">  revathi </t>
  </si>
  <si>
    <t>95354 72727</t>
  </si>
  <si>
    <t>109293169966
109293175614
109293131375</t>
  </si>
  <si>
    <t xml:space="preserve"> krithika </t>
  </si>
  <si>
    <t>95811 16009</t>
  </si>
  <si>
    <t>119375886790
119375914122</t>
  </si>
  <si>
    <t>Jayanthi -+91</t>
  </si>
  <si>
    <t xml:space="preserve"> 98436 39530 -</t>
  </si>
  <si>
    <t>Thanuja - -</t>
  </si>
  <si>
    <t>Usha</t>
  </si>
  <si>
    <t xml:space="preserve">  level 2</t>
  </si>
  <si>
    <t>Surya prakash</t>
  </si>
  <si>
    <t>95002 15336</t>
  </si>
  <si>
    <t xml:space="preserve"> Annadhanam +Fullmoonday = 500+130=Rs630</t>
  </si>
  <si>
    <t>Priya</t>
  </si>
  <si>
    <t>#1998575601</t>
  </si>
  <si>
    <t xml:space="preserve"> Reiki level 2 +Fullmoon day</t>
  </si>
  <si>
    <t xml:space="preserve">Raji - - </t>
  </si>
  <si>
    <t>Black Tourmaline bracelet - 1</t>
  </si>
  <si>
    <t>Sinduja Prabhu</t>
  </si>
  <si>
    <t>UPI/P2M/606199822845/</t>
  </si>
  <si>
    <t xml:space="preserve"> level2</t>
  </si>
  <si>
    <t xml:space="preserve">selvi </t>
  </si>
  <si>
    <t xml:space="preserve">76393 15881 </t>
  </si>
  <si>
    <t>Rajee</t>
  </si>
  <si>
    <t xml:space="preserve">98403 30474 </t>
  </si>
  <si>
    <t>15 min</t>
  </si>
  <si>
    <t>Nishanthi</t>
  </si>
  <si>
    <t xml:space="preserve">75980 15051 </t>
  </si>
  <si>
    <t>Durga - +91 -</t>
  </si>
  <si>
    <t>RRN-623622764184</t>
  </si>
  <si>
    <t xml:space="preserve"> Reiki level-2</t>
  </si>
  <si>
    <t xml:space="preserve">M.Hrishikesan +91 - </t>
  </si>
  <si>
    <t>642762223391
642726919608</t>
  </si>
  <si>
    <t xml:space="preserve">Rakshi+91 - </t>
  </si>
  <si>
    <t>198283814955
153098126837</t>
  </si>
  <si>
    <t>Distance Healing 2 session</t>
  </si>
  <si>
    <t>Niyaz +91-</t>
  </si>
  <si>
    <t>Rajalatha - 91-</t>
  </si>
  <si>
    <t xml:space="preserve">maheswarisk - +91 - </t>
  </si>
  <si>
    <t>Varshini Aparna - +91 -</t>
  </si>
  <si>
    <t xml:space="preserve"> Reiki Level 2</t>
  </si>
  <si>
    <t>Kayathiri Narayanan -  +91-</t>
  </si>
  <si>
    <t>Name</t>
  </si>
  <si>
    <t>97511 71119</t>
  </si>
  <si>
    <t>50ml bottle - 1</t>
  </si>
  <si>
    <t>Jayanthi - 91 -</t>
  </si>
  <si>
    <t xml:space="preserve"> level 2 and fullmoon - 1</t>
  </si>
  <si>
    <t xml:space="preserve">Anjali + - </t>
  </si>
  <si>
    <t>&amp; chakra bracelet  and Meenam Rasi bracelet</t>
  </si>
  <si>
    <t xml:space="preserve"> sucithra again </t>
  </si>
  <si>
    <t>91504 09264</t>
  </si>
  <si>
    <t>18005721916-KVB</t>
  </si>
  <si>
    <t>Lakshmi -91-</t>
  </si>
  <si>
    <t>mesham rasi bracelet -1</t>
  </si>
  <si>
    <t>Merry</t>
  </si>
  <si>
    <t>99443 95953</t>
  </si>
  <si>
    <t>Black tourmaline bracelet -1
Speed courier - 250rs</t>
  </si>
  <si>
    <t>Saras+</t>
  </si>
  <si>
    <t>6592432808 -</t>
  </si>
  <si>
    <t xml:space="preserve"> Zibu crystal combo -1</t>
  </si>
  <si>
    <t xml:space="preserve">Bhavani - +91  </t>
  </si>
  <si>
    <t>63790 90194 -</t>
  </si>
  <si>
    <t>Kanni raasi bracelet 1</t>
  </si>
  <si>
    <t>Subhashini - +91-</t>
  </si>
  <si>
    <t xml:space="preserve"> 63697 47920 </t>
  </si>
  <si>
    <t xml:space="preserve"> Cho ku rei pendant 1</t>
  </si>
  <si>
    <t xml:space="preserve"> prathipa</t>
  </si>
  <si>
    <t>95396 44572</t>
  </si>
  <si>
    <t xml:space="preserve"> 100ml bottle - 1</t>
  </si>
  <si>
    <t xml:space="preserve">Amritrajhan - </t>
  </si>
  <si>
    <t xml:space="preserve"> 96555 00572</t>
  </si>
  <si>
    <t>Rose quartz tumble stone -1set</t>
  </si>
  <si>
    <t xml:space="preserve">Pappitha Kesavan - +91 </t>
  </si>
  <si>
    <t>98404 02342 -</t>
  </si>
  <si>
    <t xml:space="preserve"> 15min</t>
  </si>
  <si>
    <t xml:space="preserve">Anju - +91 - </t>
  </si>
  <si>
    <t xml:space="preserve">90619 45126 </t>
  </si>
  <si>
    <t>30min</t>
  </si>
  <si>
    <t>Maria Roopa - +91</t>
  </si>
  <si>
    <t xml:space="preserve">  Zibu Crystal Combo 1</t>
  </si>
  <si>
    <t xml:space="preserve">Suchithra - +91  </t>
  </si>
  <si>
    <t>91504 09264 -</t>
  </si>
  <si>
    <t>50ml medicine</t>
  </si>
  <si>
    <t>- kiruthiga</t>
  </si>
  <si>
    <t xml:space="preserve">97421 21500 </t>
  </si>
  <si>
    <t xml:space="preserve">Augustin -  </t>
  </si>
  <si>
    <t>9994394060 -</t>
  </si>
  <si>
    <t>7 chakra bracelet - 1</t>
  </si>
  <si>
    <t>Saranya - +91 -</t>
  </si>
  <si>
    <t xml:space="preserve">89392 74367 </t>
  </si>
  <si>
    <t xml:space="preserve"> 45min</t>
  </si>
  <si>
    <t xml:space="preserve"> Abinaya</t>
  </si>
  <si>
    <t>89732 97701 -</t>
  </si>
  <si>
    <t>326764130884
142353300520</t>
  </si>
  <si>
    <t>Karthik - +91 -</t>
  </si>
  <si>
    <t xml:space="preserve"> 63820 29009</t>
  </si>
  <si>
    <t xml:space="preserve"> Mithunam  Rasi crystal - 1</t>
  </si>
  <si>
    <t xml:space="preserve">Abisha  - +91  </t>
  </si>
  <si>
    <t>93858 35364 -</t>
  </si>
  <si>
    <t>amethyst tumble stone - 1 set</t>
  </si>
  <si>
    <t xml:space="preserve"> - indumathi</t>
  </si>
  <si>
    <t>93606 35363</t>
  </si>
  <si>
    <t>100ml medicine</t>
  </si>
  <si>
    <t>- Karthika -</t>
  </si>
  <si>
    <t xml:space="preserve">70309 77861 </t>
  </si>
  <si>
    <t xml:space="preserve"> Baby healing 6th session</t>
  </si>
  <si>
    <t>Vino Dhakshin - +91</t>
  </si>
  <si>
    <t>7695851666 -</t>
  </si>
  <si>
    <t>119492975668
119492897068.If</t>
  </si>
  <si>
    <t xml:space="preserve"> 100ml medicine</t>
  </si>
  <si>
    <t xml:space="preserve">Nandini - +91 - </t>
  </si>
  <si>
    <t>Simmam raasi bracelet 1</t>
  </si>
  <si>
    <t xml:space="preserve">sucithra </t>
  </si>
  <si>
    <t xml:space="preserve">91504 09264 </t>
  </si>
  <si>
    <t>606430403428
606431930208</t>
  </si>
  <si>
    <t>30min appointment</t>
  </si>
  <si>
    <t xml:space="preserve">Puvi kesavan -+91- </t>
  </si>
  <si>
    <t xml:space="preserve"> 97907 96599 </t>
  </si>
  <si>
    <t>Cho ku rei pendant 1</t>
  </si>
  <si>
    <t xml:space="preserve">Karthika - +91 - </t>
  </si>
  <si>
    <t>15min App</t>
  </si>
  <si>
    <t>shiva sudhakar</t>
  </si>
  <si>
    <t xml:space="preserve"> 98841 16046 </t>
  </si>
  <si>
    <t xml:space="preserve"> certificate</t>
  </si>
  <si>
    <t>Saraswathi - +91</t>
  </si>
  <si>
    <t xml:space="preserve"> 99627 21532 -</t>
  </si>
  <si>
    <t xml:space="preserve"> Rose quartz tumble stone</t>
  </si>
  <si>
    <t>Jena - +91</t>
  </si>
  <si>
    <t xml:space="preserve"> 63820 19776 -</t>
  </si>
  <si>
    <t xml:space="preserve"> Card - 1</t>
  </si>
  <si>
    <t xml:space="preserve"> vanathi </t>
  </si>
  <si>
    <t>81247 34003</t>
  </si>
  <si>
    <t>black tourmaline bracelet - 1</t>
  </si>
  <si>
    <t>yamunasenthil - -</t>
  </si>
  <si>
    <t xml:space="preserve"> zibu symbol 2 set</t>
  </si>
  <si>
    <t xml:space="preserve"> - Manjula</t>
  </si>
  <si>
    <t>90082 99755</t>
  </si>
  <si>
    <t>Vijay sri sundararaj - + -</t>
  </si>
  <si>
    <t>61 470 403 929</t>
  </si>
  <si>
    <t xml:space="preserve"> 30min</t>
  </si>
  <si>
    <t>Vijay Sri Sundararaj -  + -</t>
  </si>
  <si>
    <t xml:space="preserve"> black tourmaline bracele -1</t>
  </si>
  <si>
    <t>Lavanyaasenthil  -</t>
  </si>
  <si>
    <t xml:space="preserve"> 8144555511 -</t>
  </si>
  <si>
    <t xml:space="preserve"> 15 mins appoinment</t>
  </si>
  <si>
    <t xml:space="preserve">priyanka - +91  - </t>
  </si>
  <si>
    <t>81477 15531</t>
  </si>
  <si>
    <t>mithunam rasi bracelet - 1</t>
  </si>
  <si>
    <t>Chinnadurai - +91 -</t>
  </si>
  <si>
    <t>Amethyst bracelet - 1</t>
  </si>
  <si>
    <t xml:space="preserve">Bhavya - +91 </t>
  </si>
  <si>
    <t>9535178924 -</t>
  </si>
  <si>
    <t>Magara rasi crystal - 1</t>
  </si>
  <si>
    <t>kanitani - +91 -</t>
  </si>
  <si>
    <t xml:space="preserve"> Zibu crystal combo</t>
  </si>
  <si>
    <t>Saranya - +91-</t>
  </si>
  <si>
    <t xml:space="preserve"> 81487 16470 </t>
  </si>
  <si>
    <t>605949164059
606667141520</t>
  </si>
  <si>
    <t xml:space="preserve"> Healing session tw</t>
  </si>
  <si>
    <t>Banu --</t>
  </si>
  <si>
    <t>zibu symbol crystal -1</t>
  </si>
  <si>
    <t xml:space="preserve">rajeshwariraje - +91- </t>
  </si>
  <si>
    <t>Money Magnet Bracelet - 1</t>
  </si>
  <si>
    <t xml:space="preserve">Yalini jagan - +91- </t>
  </si>
  <si>
    <t xml:space="preserve"> 88709 36795 </t>
  </si>
  <si>
    <t>Healing session</t>
  </si>
  <si>
    <t xml:space="preserve">Karthika </t>
  </si>
  <si>
    <t xml:space="preserve">96778 11513 </t>
  </si>
  <si>
    <t>risabam rasi bracelet - 1</t>
  </si>
  <si>
    <t xml:space="preserve"> Chandrasekaran - </t>
  </si>
  <si>
    <t>9047820265 -</t>
  </si>
  <si>
    <t>zibu crystal combo -1</t>
  </si>
  <si>
    <t>Vasugi</t>
  </si>
  <si>
    <t xml:space="preserve">99446 50810 </t>
  </si>
  <si>
    <t>Red corlinion bracelet -1</t>
  </si>
  <si>
    <t>Archana - +91-</t>
  </si>
  <si>
    <t xml:space="preserve"> zibu crystal combo -1</t>
  </si>
  <si>
    <t>SG Boutique - +91-</t>
  </si>
  <si>
    <t xml:space="preserve"> Zibu crystal combo-1</t>
  </si>
  <si>
    <t xml:space="preserve">Sandhiya - +91  </t>
  </si>
  <si>
    <t xml:space="preserve"> 89256 91301 -</t>
  </si>
  <si>
    <t>money magnet bracelet - 1</t>
  </si>
  <si>
    <t xml:space="preserve">Anantharaj - 91- </t>
  </si>
  <si>
    <t xml:space="preserve">Bhanu </t>
  </si>
  <si>
    <t xml:space="preserve">90725 96196 </t>
  </si>
  <si>
    <t>Sampath - +91 -</t>
  </si>
  <si>
    <t xml:space="preserve">88707 12044 </t>
  </si>
  <si>
    <t xml:space="preserve"> 100ml - 1</t>
  </si>
  <si>
    <t xml:space="preserve"> beena</t>
  </si>
  <si>
    <t>99449 44780</t>
  </si>
  <si>
    <t xml:space="preserve"> amethyst bracelet - 1</t>
  </si>
  <si>
    <t xml:space="preserve">Aashini - 91 </t>
  </si>
  <si>
    <t>8148601751 -</t>
  </si>
  <si>
    <t>pyrite cluster - 1</t>
  </si>
  <si>
    <t>Rajalakshmi - +</t>
  </si>
  <si>
    <t xml:space="preserve">91 99435 34995 </t>
  </si>
  <si>
    <t xml:space="preserve">crystal book panirkaga minus panipaga </t>
  </si>
  <si>
    <t xml:space="preserve">- Vasugi </t>
  </si>
  <si>
    <t>99446 50810</t>
  </si>
  <si>
    <t>crystal therapy</t>
  </si>
  <si>
    <t xml:space="preserve">Nanthana - </t>
  </si>
  <si>
    <t>91 79044 21865</t>
  </si>
  <si>
    <t>Black tourmaline pyramid - 1</t>
  </si>
  <si>
    <t>babylakshmi -</t>
  </si>
  <si>
    <t>cho ku rei pendant -1</t>
  </si>
  <si>
    <t xml:space="preserve">gicky - </t>
  </si>
  <si>
    <t>109338960151)-</t>
  </si>
  <si>
    <t>nagmadevi</t>
  </si>
  <si>
    <t xml:space="preserve"> 98402 83039 </t>
  </si>
  <si>
    <t xml:space="preserve">30 min </t>
  </si>
  <si>
    <t xml:space="preserve">- Selvi </t>
  </si>
  <si>
    <t xml:space="preserve"> 94887 34446</t>
  </si>
  <si>
    <t>kumbam rasi bracelet - 1</t>
  </si>
  <si>
    <t xml:space="preserve">- Dhanam </t>
  </si>
  <si>
    <t>65 9855 0634</t>
  </si>
  <si>
    <t>30 min</t>
  </si>
  <si>
    <t>Jena -</t>
  </si>
  <si>
    <t>card - 4(already 1 card before pay panirkaga 5th date
pay panirkaga</t>
  </si>
  <si>
    <t xml:space="preserve">Subathra - </t>
  </si>
  <si>
    <t>triple protection bracelet - 1</t>
  </si>
  <si>
    <t xml:space="preserve">sree - - </t>
  </si>
  <si>
    <t>viruchigam rasi bracelet -1</t>
  </si>
  <si>
    <t>VASANTHA</t>
  </si>
  <si>
    <t xml:space="preserve"> 63804 83218</t>
  </si>
  <si>
    <t xml:space="preserve">Manjula - +91 - </t>
  </si>
  <si>
    <t xml:space="preserve">90082 99755 </t>
  </si>
  <si>
    <t xml:space="preserve">Rajalakshmi - +91 - </t>
  </si>
  <si>
    <t>Amethyst stone - 1
Selenite plate 1
Clear quartz stone - 1
Black tourmaline stone 1
Pyrite stone - 1
7chakra bracelet 1</t>
  </si>
  <si>
    <t>Anand Kumar-91 -</t>
  </si>
  <si>
    <t>zibu crystal Cambo-1</t>
  </si>
  <si>
    <t xml:space="preserve">Kanmani - </t>
  </si>
  <si>
    <t xml:space="preserve"> 8072635207 -</t>
  </si>
  <si>
    <t>citrine bracelet -1</t>
  </si>
  <si>
    <t>Narpavi Priya Karthick -  +91 -</t>
  </si>
  <si>
    <t xml:space="preserve"> 6 Healing Session</t>
  </si>
  <si>
    <t>Nandini - +91 -</t>
  </si>
  <si>
    <t xml:space="preserve"> Lamafera personal healing ( 1 session )</t>
  </si>
  <si>
    <t>90rs balance iruku</t>
  </si>
  <si>
    <t>GOWRI NANDHISHA D - +91 -</t>
  </si>
  <si>
    <t xml:space="preserve"> 30min App</t>
  </si>
  <si>
    <t xml:space="preserve"> sujatha </t>
  </si>
  <si>
    <t>97899 10919</t>
  </si>
  <si>
    <t>money magnet malai - 1</t>
  </si>
  <si>
    <t xml:space="preserve">Anitha - +91 </t>
  </si>
  <si>
    <t>9945213490 -</t>
  </si>
  <si>
    <t>15min Appointment</t>
  </si>
  <si>
    <t>Chitra -  +91</t>
  </si>
  <si>
    <t>Rishabam raasi bracelet 1</t>
  </si>
  <si>
    <t xml:space="preserve">Saraswathi - +91  - </t>
  </si>
  <si>
    <t>99627 21532</t>
  </si>
  <si>
    <t>801 - b 702</t>
  </si>
  <si>
    <t>Black Tourmaline bracelet - 1
702 avnga amount irukku</t>
  </si>
  <si>
    <t xml:space="preserve">Harshan - +91 - </t>
  </si>
  <si>
    <t>black tourmaline pyramid - 1</t>
  </si>
  <si>
    <t>Anju -+91  -</t>
  </si>
  <si>
    <t>90619 45126</t>
  </si>
  <si>
    <t xml:space="preserve"> 30 min</t>
  </si>
  <si>
    <t>nalini -  +91 -</t>
  </si>
  <si>
    <t xml:space="preserve"> black tourmaline bracelet - 1</t>
  </si>
  <si>
    <t>Shanmugapriya - +91  -</t>
  </si>
  <si>
    <t>88381 20667</t>
  </si>
  <si>
    <t xml:space="preserve">Manju Meenatchisundaram </t>
  </si>
  <si>
    <t xml:space="preserve"> Triple production Bracelet 1</t>
  </si>
  <si>
    <t xml:space="preserve"> - premila devi</t>
  </si>
  <si>
    <t>96000 48964</t>
  </si>
  <si>
    <t>606914577952
606937775273</t>
  </si>
  <si>
    <t xml:space="preserve"> Karthika</t>
  </si>
  <si>
    <t xml:space="preserve"> 96778 11513</t>
  </si>
  <si>
    <t xml:space="preserve"> orange carnelian bracelet - 1</t>
  </si>
  <si>
    <t>kirthyik - +91</t>
  </si>
  <si>
    <t>- 1Healing session</t>
  </si>
  <si>
    <t>Nandini - +91-</t>
  </si>
  <si>
    <t xml:space="preserve"> Lamafera healing 2nd &amp;3rd Session</t>
  </si>
  <si>
    <t xml:space="preserve">Nisha -+91- </t>
  </si>
  <si>
    <t>Amethist bracelet -1</t>
  </si>
  <si>
    <t xml:space="preserve">Shanthi Kumar -  +91- </t>
  </si>
  <si>
    <t>kadagam rasi bracelet - 1</t>
  </si>
  <si>
    <t xml:space="preserve"> - Poornima</t>
  </si>
  <si>
    <t>73389 35320</t>
  </si>
  <si>
    <t>Aura cleanser -1
Brown gown - 1</t>
  </si>
  <si>
    <t xml:space="preserve"> - Rajalakshmi -</t>
  </si>
  <si>
    <t xml:space="preserve"> 70191 67049</t>
  </si>
  <si>
    <t xml:space="preserve"> 15 min</t>
  </si>
  <si>
    <t xml:space="preserve">Merlin - +91- </t>
  </si>
  <si>
    <t>30min Appointment</t>
  </si>
  <si>
    <t>Priya Prabu - +-</t>
  </si>
  <si>
    <t xml:space="preserve"> 15min App</t>
  </si>
  <si>
    <t xml:space="preserve">Yazhini  -  +91- </t>
  </si>
  <si>
    <t>30min App</t>
  </si>
  <si>
    <t xml:space="preserve">Prem Meena - +91 </t>
  </si>
  <si>
    <t>9789998237 -</t>
  </si>
  <si>
    <t>Howlite bracelet 1
Black tourmaline bracelet 1</t>
  </si>
  <si>
    <t xml:space="preserve">Sreelatha - +91 - </t>
  </si>
  <si>
    <t xml:space="preserve">99701 66444 </t>
  </si>
  <si>
    <t>Distance Healing</t>
  </si>
  <si>
    <t>Jegadeesh -  +91 -</t>
  </si>
  <si>
    <t xml:space="preserve"> Money magnet bracelet 1</t>
  </si>
  <si>
    <t>Teeta -  +-</t>
  </si>
  <si>
    <t>- Bharathi</t>
  </si>
  <si>
    <t>65 9447 7860</t>
  </si>
  <si>
    <t xml:space="preserve">Aishwarya - +91 - </t>
  </si>
  <si>
    <t xml:space="preserve"> 82488 62350</t>
  </si>
  <si>
    <t>one Healing session</t>
  </si>
  <si>
    <t>yamuna -  +91-</t>
  </si>
  <si>
    <t xml:space="preserve"> cho ku rei pendent -1</t>
  </si>
  <si>
    <t>Sangeetha -91 -</t>
  </si>
  <si>
    <t>reiki level 1</t>
  </si>
  <si>
    <t>𝐏𝐫𝐢𝐲𝐚𝐦𝐚𝐧𝐢</t>
  </si>
  <si>
    <t>cho ku rei pendent -1</t>
  </si>
  <si>
    <t>Amutha - +91-</t>
  </si>
  <si>
    <t>zibu crystal cambo-1</t>
  </si>
  <si>
    <t>Nadhiya M - +91</t>
  </si>
  <si>
    <t>9840963453 -</t>
  </si>
  <si>
    <t>-zibu crystal cambo-1</t>
  </si>
  <si>
    <t xml:space="preserve"> kayathri </t>
  </si>
  <si>
    <t>88706 19188</t>
  </si>
  <si>
    <t xml:space="preserve"> leena</t>
  </si>
  <si>
    <t>97517 51346</t>
  </si>
  <si>
    <t xml:space="preserve"> amethyst mini bottle crystal - 1</t>
  </si>
  <si>
    <t>Deepa - +91</t>
  </si>
  <si>
    <t xml:space="preserve">9591385511- </t>
  </si>
  <si>
    <t>level 1</t>
  </si>
  <si>
    <t xml:space="preserve">Jagannathan - +91 - </t>
  </si>
  <si>
    <t>Kadagam Rasi -1</t>
  </si>
  <si>
    <t>13/3/26</t>
  </si>
  <si>
    <t>Glory - +91</t>
  </si>
  <si>
    <t>- Reiki level -1</t>
  </si>
  <si>
    <t>Ramya</t>
  </si>
  <si>
    <t xml:space="preserve">80151 94705 </t>
  </si>
  <si>
    <t>Tarot Reading Class</t>
  </si>
  <si>
    <t xml:space="preserve">Sandy </t>
  </si>
  <si>
    <t>557174342327
456401737356</t>
  </si>
  <si>
    <t xml:space="preserve">Tarot Reading Class &amp; Shipping </t>
  </si>
  <si>
    <t>Anushya Devi</t>
  </si>
  <si>
    <t>revathi</t>
  </si>
  <si>
    <t xml:space="preserve">80568 38516 </t>
  </si>
  <si>
    <t xml:space="preserve">15 min Appointment </t>
  </si>
  <si>
    <t>Jansi</t>
  </si>
  <si>
    <t xml:space="preserve">Tarot Reading Class </t>
  </si>
  <si>
    <t xml:space="preserve">97506 22777 </t>
  </si>
  <si>
    <t>black tourmaline bracelet 1</t>
  </si>
  <si>
    <t>14/3/26</t>
  </si>
  <si>
    <t>Durga</t>
  </si>
  <si>
    <t>70104 46201</t>
  </si>
  <si>
    <t>Lapiz lazuli Mini bottle 1</t>
  </si>
  <si>
    <t>Vasugi -91</t>
  </si>
  <si>
    <t>9791133389 -</t>
  </si>
  <si>
    <t>tarot reading class</t>
  </si>
  <si>
    <t xml:space="preserve"> - Vasugi premnath</t>
  </si>
  <si>
    <t>Tarot class
Already - 3150rs pay panni irukanga</t>
  </si>
  <si>
    <t>Luximiprabha - +91  -</t>
  </si>
  <si>
    <t xml:space="preserve"> Tarot reading class</t>
  </si>
  <si>
    <t>Jeeva - 91</t>
  </si>
  <si>
    <t>9159825161 -</t>
  </si>
  <si>
    <t xml:space="preserve">eswari </t>
  </si>
  <si>
    <t xml:space="preserve">77084 80159 </t>
  </si>
  <si>
    <t>Premila punitharasa - +</t>
  </si>
  <si>
    <t xml:space="preserve">1 (263) 552-4496 - </t>
  </si>
  <si>
    <t>HDFC0001575</t>
  </si>
  <si>
    <t>tarot reading class
fullmoonhealing
shipping charges - 5400</t>
  </si>
  <si>
    <t>15/03/26</t>
  </si>
  <si>
    <t xml:space="preserve">Hari ragav -  +91 - </t>
  </si>
  <si>
    <t>607477080902
607477103101</t>
  </si>
  <si>
    <t>Red Jasper bracelet 1</t>
  </si>
  <si>
    <t>R.sivamahilan - +91</t>
  </si>
  <si>
    <t xml:space="preserve">9524311675 - </t>
  </si>
  <si>
    <t xml:space="preserve">Shanthi - +91 </t>
  </si>
  <si>
    <t>94441 50880</t>
  </si>
  <si>
    <t>Dhanush bracelet 2
Simmam raasi bracelet 1
Viruchagam Raasi bracelet 1
Rishanam raasi bracelet</t>
  </si>
  <si>
    <t>Sambath - +91-</t>
  </si>
  <si>
    <t xml:space="preserve"> 88707 12044 </t>
  </si>
  <si>
    <t>16/03/26</t>
  </si>
  <si>
    <t xml:space="preserve">Karthika +91 - </t>
  </si>
  <si>
    <t>Healing session (1)</t>
  </si>
  <si>
    <t>Jeya priya +91 -</t>
  </si>
  <si>
    <t xml:space="preserve"> magaram Rsai -1</t>
  </si>
  <si>
    <t>Ajitha - +91</t>
  </si>
  <si>
    <t xml:space="preserve"> 80983 55000 - </t>
  </si>
  <si>
    <t>Prema - +91 -</t>
  </si>
  <si>
    <t xml:space="preserve"> 50ml medicine</t>
  </si>
  <si>
    <t xml:space="preserve"> anusha</t>
  </si>
  <si>
    <t>90037 38506</t>
  </si>
  <si>
    <t>monica</t>
  </si>
  <si>
    <t xml:space="preserve">91480 38001 </t>
  </si>
  <si>
    <t xml:space="preserve"> level 1</t>
  </si>
  <si>
    <t>prema. - +91-</t>
  </si>
  <si>
    <t xml:space="preserve">Ananthi - +91- </t>
  </si>
  <si>
    <t xml:space="preserve"> 98948 90751 </t>
  </si>
  <si>
    <t xml:space="preserve">Raajaparivardhiniv- +91-  </t>
  </si>
  <si>
    <t>644196066331
644202794907</t>
  </si>
  <si>
    <t>1 hour</t>
  </si>
  <si>
    <t>17/03/26</t>
  </si>
  <si>
    <t xml:space="preserve"> - Dhivya Ethiraj - </t>
  </si>
  <si>
    <t>Rosali -</t>
  </si>
  <si>
    <t xml:space="preserve"> 73589 63353 -</t>
  </si>
  <si>
    <t xml:space="preserve"> 15 min </t>
  </si>
  <si>
    <t xml:space="preserve">chandu - +91 - </t>
  </si>
  <si>
    <t>Reiki level-1</t>
  </si>
  <si>
    <t>Ramya -+91 -</t>
  </si>
  <si>
    <t>79040 07304</t>
  </si>
  <si>
    <t>Janani - +91  -</t>
  </si>
  <si>
    <t>63811 87400</t>
  </si>
  <si>
    <t>Harshan - +91-</t>
  </si>
  <si>
    <t xml:space="preserve">Malar - +91- </t>
  </si>
  <si>
    <t>reiki level-1</t>
  </si>
  <si>
    <t xml:space="preserve"> manoj kumar </t>
  </si>
  <si>
    <t xml:space="preserve"> 77084 06889</t>
  </si>
  <si>
    <t>tiger's eye bracelet - 1</t>
  </si>
  <si>
    <t>Anushaya-  91</t>
  </si>
  <si>
    <t>9688930316-</t>
  </si>
  <si>
    <t xml:space="preserve"> reiki level 1</t>
  </si>
  <si>
    <t xml:space="preserve"> - Rekha - </t>
  </si>
  <si>
    <t xml:space="preserve"> 99425 50580</t>
  </si>
  <si>
    <t>black tourmaline tumble stone - 1 set</t>
  </si>
  <si>
    <t>Kavitha -  91</t>
  </si>
  <si>
    <t>9486078611 -</t>
  </si>
  <si>
    <t xml:space="preserve"> tarot reading class-1</t>
  </si>
  <si>
    <t xml:space="preserve">98430 73049 </t>
  </si>
  <si>
    <t>Healing session - 3 person</t>
  </si>
  <si>
    <t xml:space="preserve">Parimalam- +91  </t>
  </si>
  <si>
    <t>77365 24767 -</t>
  </si>
  <si>
    <t>zibu combo crystal</t>
  </si>
  <si>
    <t xml:space="preserve">Priya Prabu - +- </t>
  </si>
  <si>
    <t>Already 15min book pannirukanga
 ipo 15 min total 30min</t>
  </si>
  <si>
    <t xml:space="preserve"> maheswaran </t>
  </si>
  <si>
    <t>30min appointmen</t>
  </si>
  <si>
    <t xml:space="preserve"> - Karthiga -</t>
  </si>
  <si>
    <t>91 63796 47687</t>
  </si>
  <si>
    <t>607647634458.If</t>
  </si>
  <si>
    <t>100ml medicine -1
Balance amount 640rs refund pannanum</t>
  </si>
  <si>
    <t xml:space="preserve">Ananthi - +91  - </t>
  </si>
  <si>
    <t>98948 90751</t>
  </si>
  <si>
    <t>7 chakra bracelet -1</t>
  </si>
  <si>
    <t xml:space="preserve">geethaunni - +91- </t>
  </si>
  <si>
    <t>Kadagam raasi bracelet 1</t>
  </si>
  <si>
    <t xml:space="preserve"> - indira -</t>
  </si>
  <si>
    <t>98421 69992</t>
  </si>
  <si>
    <t xml:space="preserve"> 50ml - 2</t>
  </si>
  <si>
    <t xml:space="preserve">Glory - +91  </t>
  </si>
  <si>
    <t>96532 93238 -</t>
  </si>
  <si>
    <t xml:space="preserve">Lakshmi -  +91- </t>
  </si>
  <si>
    <t xml:space="preserve"> 98840 79488 </t>
  </si>
  <si>
    <t>1 healing session</t>
  </si>
  <si>
    <t>Dhanalakshmi - +91</t>
  </si>
  <si>
    <t xml:space="preserve"> 94896 92734 -</t>
  </si>
  <si>
    <t>Nandhini - +91  -</t>
  </si>
  <si>
    <t>96263 15495</t>
  </si>
  <si>
    <t xml:space="preserve"> lamafera healing session (9 session)</t>
  </si>
  <si>
    <t xml:space="preserve">Sreenithi - +91- </t>
  </si>
  <si>
    <t xml:space="preserve"> 73063 92688 </t>
  </si>
  <si>
    <t xml:space="preserve">Roshi - +91- </t>
  </si>
  <si>
    <t>Gayathri -- +91</t>
  </si>
  <si>
    <t>9739911598 -</t>
  </si>
  <si>
    <t xml:space="preserve"> 50ml medicine 2</t>
  </si>
  <si>
    <t>18/03/26</t>
  </si>
  <si>
    <t>Jayapandiammal - +91 -</t>
  </si>
  <si>
    <t xml:space="preserve">97514 94058 </t>
  </si>
  <si>
    <t>UPI:109402627129.</t>
  </si>
  <si>
    <t>Anju - +91  -</t>
  </si>
  <si>
    <t xml:space="preserve"> - Murugan - </t>
  </si>
  <si>
    <t xml:space="preserve"> padmini </t>
  </si>
  <si>
    <t>94810 27029</t>
  </si>
  <si>
    <t>Raji</t>
  </si>
  <si>
    <t xml:space="preserve"> - +91812589734 - </t>
  </si>
  <si>
    <t>tarot reading class - 1</t>
  </si>
  <si>
    <t>Revathi</t>
  </si>
  <si>
    <t xml:space="preserve">Money magnet bracelet - 1 </t>
  </si>
  <si>
    <t xml:space="preserve">Priya -  - </t>
  </si>
  <si>
    <t>tarot reading class -1
shipping charge - 5300rs</t>
  </si>
  <si>
    <t>Lakshmi Hariharan - +91-</t>
  </si>
  <si>
    <t xml:space="preserve"> reiki level 2</t>
  </si>
  <si>
    <t>Thamizharasi Rajesh - +91 -</t>
  </si>
  <si>
    <t xml:space="preserve"> 7 chakra bracelet </t>
  </si>
  <si>
    <t xml:space="preserve">- Asha - </t>
  </si>
  <si>
    <t xml:space="preserve">vasugi - +91 - </t>
  </si>
  <si>
    <t>- Shanmuga priya</t>
  </si>
  <si>
    <t xml:space="preserve"> 90479 40526</t>
  </si>
  <si>
    <t>Kadaka rasi bracelet</t>
  </si>
  <si>
    <t xml:space="preserve">Suchitra - +91  - </t>
  </si>
  <si>
    <t xml:space="preserve"> preethi </t>
  </si>
  <si>
    <t>80561 29439</t>
  </si>
  <si>
    <t xml:space="preserve">Hema </t>
  </si>
  <si>
    <t>1 (908) 240-0054 -</t>
  </si>
  <si>
    <t xml:space="preserve"> Tarot Reading class
Shipping charge - 5400rs</t>
  </si>
  <si>
    <t xml:space="preserve">Banu priya - +91  </t>
  </si>
  <si>
    <t>63822 40015  -</t>
  </si>
  <si>
    <t>mesham rasi bracelet - 1</t>
  </si>
  <si>
    <t xml:space="preserve"> - Silambarasan -</t>
  </si>
  <si>
    <t>63798 65115</t>
  </si>
  <si>
    <t xml:space="preserve"> 100ml medicine -1</t>
  </si>
  <si>
    <t>Tamil selvi</t>
  </si>
  <si>
    <t>Reiki Level 1</t>
  </si>
  <si>
    <t>paarthiban</t>
  </si>
  <si>
    <t>90928 55566</t>
  </si>
  <si>
    <t>Black tourmaline bracelet -1</t>
  </si>
  <si>
    <t xml:space="preserve">Poornima - +91 </t>
  </si>
  <si>
    <t xml:space="preserve"> 73389 35320 -</t>
  </si>
  <si>
    <t>100ml - 2</t>
  </si>
  <si>
    <t>- sridevi</t>
  </si>
  <si>
    <t>Kadakam rasi bracelet -1</t>
  </si>
  <si>
    <t>- Pavithra</t>
  </si>
  <si>
    <t xml:space="preserve">63801 25482 </t>
  </si>
  <si>
    <t>45 min</t>
  </si>
  <si>
    <t>- Chamundeshwari</t>
  </si>
  <si>
    <t xml:space="preserve"> 96009 06444 </t>
  </si>
  <si>
    <t>Kumbam rasi bracelet -1 Mithunam rasi bracelet -2</t>
  </si>
  <si>
    <t>19/03/26</t>
  </si>
  <si>
    <t xml:space="preserve">Geethalakshmi - +91 - </t>
  </si>
  <si>
    <t>Mithunam Rasi -1</t>
  </si>
  <si>
    <t>- Vijay sri</t>
  </si>
  <si>
    <t>Red jasper bracelet -1</t>
  </si>
  <si>
    <t xml:space="preserve">Muthalaggan - </t>
  </si>
  <si>
    <t xml:space="preserve"> +65 8163 1976 -</t>
  </si>
  <si>
    <t>MB60319051383723 
0016OT6914038</t>
  </si>
  <si>
    <t>Tarot card class shipping charge - 4300</t>
  </si>
  <si>
    <t>- ushajayakumar -</t>
  </si>
  <si>
    <t xml:space="preserve">89256 15608 </t>
  </si>
  <si>
    <t>- Dimple</t>
  </si>
  <si>
    <t xml:space="preserve">84285 79131 </t>
  </si>
  <si>
    <t>Money magnet bracelet -1</t>
  </si>
  <si>
    <t>Lakshmi Suresh</t>
  </si>
  <si>
    <t xml:space="preserve">Chandralekha - +91 </t>
  </si>
  <si>
    <t xml:space="preserve"> 63794 45806 -</t>
  </si>
  <si>
    <t>100kl medicine 1</t>
  </si>
  <si>
    <t>20/03/26</t>
  </si>
  <si>
    <t>Sulfiya bee - + -</t>
  </si>
  <si>
    <t>968 7959 1095</t>
  </si>
  <si>
    <t xml:space="preserve"> Lama fera kit - 1</t>
  </si>
  <si>
    <t>Sathya+91 -</t>
  </si>
  <si>
    <t xml:space="preserve"> Tarot class</t>
  </si>
  <si>
    <t xml:space="preserve"> - sreenidhi - </t>
  </si>
  <si>
    <t>73063 92688</t>
  </si>
  <si>
    <t>Rajalakshmi - +91  -</t>
  </si>
  <si>
    <t>70191 67049</t>
  </si>
  <si>
    <t xml:space="preserve"> distance healing</t>
  </si>
  <si>
    <t xml:space="preserve"> vijayalakshmi</t>
  </si>
  <si>
    <t xml:space="preserve"> 95850 53530</t>
  </si>
  <si>
    <t xml:space="preserve"> - Sridevi -</t>
  </si>
  <si>
    <t xml:space="preserve"> Reiki Level 1</t>
  </si>
  <si>
    <t xml:space="preserve"> - Sathya - </t>
  </si>
  <si>
    <t>Malathi -  +91-</t>
  </si>
  <si>
    <t>21/03/26</t>
  </si>
  <si>
    <t xml:space="preserve">Vidhya - +91 </t>
  </si>
  <si>
    <t>94430 95309 -</t>
  </si>
  <si>
    <t>UPI:608006666919.</t>
  </si>
  <si>
    <t xml:space="preserve"> zibu combo crystal -1</t>
  </si>
  <si>
    <t xml:space="preserve">Jayashree -  +91 - </t>
  </si>
  <si>
    <t xml:space="preserve"> 94433 66065</t>
  </si>
  <si>
    <t>tarot reading class -</t>
  </si>
  <si>
    <t xml:space="preserve">Selvi - +91- </t>
  </si>
  <si>
    <t>15min App
March 7 Book Pannirukanga</t>
  </si>
  <si>
    <t>Radhika V - +91</t>
  </si>
  <si>
    <t>- tarot reading class - 1</t>
  </si>
  <si>
    <t>Vanitha Ananth - +91-</t>
  </si>
  <si>
    <t xml:space="preserve"> tarot reading class - 1</t>
  </si>
  <si>
    <t>PunithaSenthil +91</t>
  </si>
  <si>
    <t>9789941122 -</t>
  </si>
  <si>
    <t xml:space="preserve"> Choku rei silver pendent and Zibu combo crystal</t>
  </si>
  <si>
    <t xml:space="preserve">Chitraselvam - +91 </t>
  </si>
  <si>
    <t>9488329211 -</t>
  </si>
  <si>
    <t>Revathi - +91</t>
  </si>
  <si>
    <t>9840921713 -</t>
  </si>
  <si>
    <t xml:space="preserve">mahendran </t>
  </si>
  <si>
    <t>1 (416) 254-2091</t>
  </si>
  <si>
    <t>-21900rs</t>
  </si>
  <si>
    <t>Money magnet bracelet 3 - 7821rs
Green aventurine pyramid 1 - 2004rs
Citrine pyramid 1 - 2004rs
Black tourmaline pyramid 1 - 2004rs
Rose quartz pyramid 1 - 2004rs
Shipping charges 1 1/2kg - 6050rs sir</t>
  </si>
  <si>
    <t xml:space="preserve">Parthiban - +91 </t>
  </si>
  <si>
    <t xml:space="preserve"> 99946 59488</t>
  </si>
  <si>
    <t>- 100ml medicine</t>
  </si>
  <si>
    <t xml:space="preserve"> sucithra</t>
  </si>
  <si>
    <t>608055602140
608046872475</t>
  </si>
  <si>
    <t xml:space="preserve"> 50ml bottles - 2</t>
  </si>
  <si>
    <t xml:space="preserve"> elavarasi palani</t>
  </si>
  <si>
    <t>63015 87517</t>
  </si>
  <si>
    <t xml:space="preserve"> tiger's eye bracelet - 1</t>
  </si>
  <si>
    <t xml:space="preserve">Priya - +91- </t>
  </si>
  <si>
    <t>Sindhu - +91 -</t>
  </si>
  <si>
    <t xml:space="preserve"> Reiki level -1</t>
  </si>
  <si>
    <t xml:space="preserve"> monimozhi </t>
  </si>
  <si>
    <t>97908 22301</t>
  </si>
  <si>
    <t xml:space="preserve"> sathya bhamaa</t>
  </si>
  <si>
    <t>94423 74243</t>
  </si>
  <si>
    <r>
      <rPr>
        <rFont val="Arial"/>
        <color theme="1"/>
        <sz val="11.0"/>
      </rPr>
      <t>22</t>
    </r>
    <r>
      <rPr>
        <rFont val="Arial"/>
        <color theme="1"/>
        <sz val="11.0"/>
      </rPr>
      <t>/03/26</t>
    </r>
  </si>
  <si>
    <t xml:space="preserve">Lavanyaasenthil  - +91- </t>
  </si>
  <si>
    <t>Rose quartz pyramid 1,
pyrite pyramid 1</t>
  </si>
  <si>
    <t xml:space="preserve">Raghavi - +91 </t>
  </si>
  <si>
    <t>8237015524 -</t>
  </si>
  <si>
    <t>- durga</t>
  </si>
  <si>
    <t xml:space="preserve">96008 55159 </t>
  </si>
  <si>
    <t xml:space="preserve">நற்பவி  - +91 - </t>
  </si>
  <si>
    <t xml:space="preserve">hariharan - +91- </t>
  </si>
  <si>
    <t xml:space="preserve">Mumtaj Nazeer -  +91- </t>
  </si>
  <si>
    <t>Zibu Crystal combo 1</t>
  </si>
  <si>
    <t xml:space="preserve"> - Pavithra</t>
  </si>
  <si>
    <t>97897 87571</t>
  </si>
  <si>
    <t>Sowmya - +91</t>
  </si>
  <si>
    <t xml:space="preserve"> 73964 17367 -</t>
  </si>
  <si>
    <t>- selvi -</t>
  </si>
  <si>
    <t>Anandhi - +91 -</t>
  </si>
  <si>
    <t>Chithra</t>
  </si>
  <si>
    <t>SreedeviDeepak - +91-</t>
  </si>
  <si>
    <t xml:space="preserve"> thulam rasi bracelet - 1</t>
  </si>
  <si>
    <t>Balavidhya - +91 .</t>
  </si>
  <si>
    <t>96009 10806</t>
  </si>
  <si>
    <t xml:space="preserve"> 100ml medicine 1</t>
  </si>
  <si>
    <t>Subalakshmi - 91-</t>
  </si>
  <si>
    <t>Loganayaki -91-</t>
  </si>
  <si>
    <t xml:space="preserve">99943 15929 </t>
  </si>
  <si>
    <t>100ml medicine 1</t>
  </si>
  <si>
    <t xml:space="preserve">Thisan - +91 - </t>
  </si>
  <si>
    <t xml:space="preserve"> 77021 70343</t>
  </si>
  <si>
    <t>23/03/26</t>
  </si>
  <si>
    <t xml:space="preserve"> - Govindraj Jothi - </t>
  </si>
  <si>
    <t>90432 64674</t>
  </si>
  <si>
    <t xml:space="preserve">Stella mary +91 - </t>
  </si>
  <si>
    <t>Reiki level  1</t>
  </si>
  <si>
    <t xml:space="preserve">Indumathi+91- </t>
  </si>
  <si>
    <t>Reiki level 1</t>
  </si>
  <si>
    <t xml:space="preserve">Selvi - + </t>
  </si>
  <si>
    <t>15866636150 -</t>
  </si>
  <si>
    <t>Reiki level1</t>
  </si>
  <si>
    <t xml:space="preserve">Revathy - +91- </t>
  </si>
  <si>
    <t xml:space="preserve">saravananjayanthi - +91 </t>
  </si>
  <si>
    <t>9952912534-</t>
  </si>
  <si>
    <t>Vijayamari +91</t>
  </si>
  <si>
    <t>- Reiki level 1</t>
  </si>
  <si>
    <t xml:space="preserve">aruna devi +91- </t>
  </si>
  <si>
    <t xml:space="preserve">Rajavelu - + - </t>
  </si>
  <si>
    <t xml:space="preserve">Latha +91 - </t>
  </si>
  <si>
    <t xml:space="preserve">Anitha Arumughan- +91- </t>
  </si>
  <si>
    <t>Magaram Rasi -1</t>
  </si>
  <si>
    <t>Solaiselvi - -</t>
  </si>
  <si>
    <t xml:space="preserve"> Reiki level 1</t>
  </si>
  <si>
    <t>vinodhini - +91-</t>
  </si>
  <si>
    <t xml:space="preserve"> 50 ml medicine - 1</t>
  </si>
  <si>
    <t>Vijaysri - +</t>
  </si>
  <si>
    <t xml:space="preserve"> black Tourmaline Pyramid -1</t>
  </si>
  <si>
    <t>Vijay Sri - + -</t>
  </si>
  <si>
    <t xml:space="preserve"> Tarot Reading Class</t>
  </si>
  <si>
    <t xml:space="preserve"> Sailaja</t>
  </si>
  <si>
    <t>99403 90991 -</t>
  </si>
  <si>
    <t xml:space="preserve">Manjunath - +91 </t>
  </si>
  <si>
    <t>92061 69020 -</t>
  </si>
  <si>
    <t xml:space="preserve"> 100ml Medicine</t>
  </si>
  <si>
    <t>Thana -  +-</t>
  </si>
  <si>
    <t>#2035057302</t>
  </si>
  <si>
    <t>Tamil Selvi - +91 -</t>
  </si>
  <si>
    <t>77084 80159</t>
  </si>
  <si>
    <t xml:space="preserve"> sudha</t>
  </si>
  <si>
    <t>63694 42403</t>
  </si>
  <si>
    <t xml:space="preserve">lakshmimaha -  +91 - </t>
  </si>
  <si>
    <t>Packiya - +91</t>
  </si>
  <si>
    <t xml:space="preserve">9994511418 - </t>
  </si>
  <si>
    <t xml:space="preserve"> divya</t>
  </si>
  <si>
    <t>99168 35902</t>
  </si>
  <si>
    <t xml:space="preserve">Prema - +91 - </t>
  </si>
  <si>
    <t xml:space="preserve"> 63794 98990</t>
  </si>
  <si>
    <t xml:space="preserve">Ramani - +91 - </t>
  </si>
  <si>
    <t xml:space="preserve">Sharmila - +91- </t>
  </si>
  <si>
    <t xml:space="preserve">Bharathi - +91 </t>
  </si>
  <si>
    <t xml:space="preserve"> 95784 07703 -</t>
  </si>
  <si>
    <t xml:space="preserve">sai -  +91 </t>
  </si>
  <si>
    <t>9787085688 -</t>
  </si>
  <si>
    <t>24/03/26</t>
  </si>
  <si>
    <t xml:space="preserve"> - Latha - </t>
  </si>
  <si>
    <t xml:space="preserve"> 94443 98034</t>
  </si>
  <si>
    <t>100ml medicine -1</t>
  </si>
  <si>
    <t xml:space="preserve">Babi - +91 </t>
  </si>
  <si>
    <t>8248433589 -</t>
  </si>
  <si>
    <t>Reiki level -1</t>
  </si>
  <si>
    <t>Nambi srinivasan - +91 -</t>
  </si>
  <si>
    <t xml:space="preserve"> 88381 97689</t>
  </si>
  <si>
    <t xml:space="preserve"> - preethi -</t>
  </si>
  <si>
    <t>90032 88410</t>
  </si>
  <si>
    <t>vijaya (Bhava Jeevi) - +</t>
  </si>
  <si>
    <t xml:space="preserve">919659571983 - </t>
  </si>
  <si>
    <t>Sathish +91 -</t>
  </si>
  <si>
    <t>Menaka</t>
  </si>
  <si>
    <t>63835 76356</t>
  </si>
  <si>
    <t xml:space="preserve"> - Priya sherine - </t>
  </si>
  <si>
    <t>99409 07681</t>
  </si>
  <si>
    <t>Charlet Mary - +91</t>
  </si>
  <si>
    <t xml:space="preserve"> 95004 84336 - </t>
  </si>
  <si>
    <t>100ml medicine - 1</t>
  </si>
  <si>
    <t>- kavitha devi</t>
  </si>
  <si>
    <t xml:space="preserve">99943 46510 </t>
  </si>
  <si>
    <t>Tarot class fees</t>
  </si>
  <si>
    <t>Sulfiya - +-</t>
  </si>
  <si>
    <t xml:space="preserve">968 7959 1095 </t>
  </si>
  <si>
    <t xml:space="preserve"> Aura cleansing spray - 1</t>
  </si>
  <si>
    <t xml:space="preserve">- sandhiya </t>
  </si>
  <si>
    <t>97911 81582</t>
  </si>
  <si>
    <t>tarot reading class -1</t>
  </si>
  <si>
    <t xml:space="preserve">Srikanth - +91 </t>
  </si>
  <si>
    <t>91508 31208 -</t>
  </si>
  <si>
    <t xml:space="preserve"> 100 ml</t>
  </si>
  <si>
    <t>Deepika</t>
  </si>
  <si>
    <t xml:space="preserve"> 73582 01612 </t>
  </si>
  <si>
    <t>Reiki Level 1
2 person</t>
  </si>
  <si>
    <t xml:space="preserve"> - sudharsanam -</t>
  </si>
  <si>
    <t xml:space="preserve"> Lama fera malai - 1</t>
  </si>
  <si>
    <t xml:space="preserve"> - Vasantha</t>
  </si>
  <si>
    <t>63804 83218</t>
  </si>
  <si>
    <t>Medicine - 100ml</t>
  </si>
  <si>
    <t xml:space="preserve"> abirami </t>
  </si>
  <si>
    <t xml:space="preserve"> 87540 73597</t>
  </si>
  <si>
    <t>100ml bottle - 1</t>
  </si>
  <si>
    <t>Rajeshwari - +91 -</t>
  </si>
  <si>
    <t xml:space="preserve">73389 39003 </t>
  </si>
  <si>
    <t xml:space="preserve"> 100ml</t>
  </si>
  <si>
    <t>Viji -  -</t>
  </si>
  <si>
    <t>85240 39690</t>
  </si>
  <si>
    <t>Rathi -</t>
  </si>
  <si>
    <t xml:space="preserve"> 919845823559 -</t>
  </si>
  <si>
    <t>Jayabhuvi - +91</t>
  </si>
  <si>
    <t>8270896260 -</t>
  </si>
  <si>
    <t xml:space="preserve">vasanthishreesamy - +91 - </t>
  </si>
  <si>
    <t xml:space="preserve"> - ANUSREE KC -</t>
  </si>
  <si>
    <t xml:space="preserve">- Anitha  </t>
  </si>
  <si>
    <t>- Reiki Level 1</t>
  </si>
  <si>
    <t xml:space="preserve">Maya - +91 </t>
  </si>
  <si>
    <t xml:space="preserve">82709 26511 - </t>
  </si>
  <si>
    <t xml:space="preserve">money magnet bracelet - 1 </t>
  </si>
  <si>
    <t xml:space="preserve">Haripriya -91 - </t>
  </si>
  <si>
    <t>50ml medicine - 1</t>
  </si>
  <si>
    <t>K.Monika</t>
  </si>
  <si>
    <t>8870541574 -</t>
  </si>
  <si>
    <t>Netra  - +91</t>
  </si>
  <si>
    <t xml:space="preserve">9036256681 - </t>
  </si>
  <si>
    <t xml:space="preserve">siva - +91 - </t>
  </si>
  <si>
    <t xml:space="preserve">Sri -  +91 </t>
  </si>
  <si>
    <t>9566015405 -</t>
  </si>
  <si>
    <t>- sathya</t>
  </si>
  <si>
    <t xml:space="preserve">74184 07716 </t>
  </si>
  <si>
    <t>Thulam rasi bracelet -1</t>
  </si>
  <si>
    <t>zeen Deivamani - +91</t>
  </si>
  <si>
    <t>NiranjanaVinod - +91</t>
  </si>
  <si>
    <t>8943980996 -</t>
  </si>
  <si>
    <t xml:space="preserve"> Simmam Rassi bracelet 1</t>
  </si>
  <si>
    <t>Anusri  -  +91</t>
  </si>
  <si>
    <t xml:space="preserve">8248572736 - </t>
  </si>
  <si>
    <t>25/03/26</t>
  </si>
  <si>
    <t xml:space="preserve"> rathipriya</t>
  </si>
  <si>
    <t>95661 98483</t>
  </si>
  <si>
    <t xml:space="preserve"> aparna</t>
  </si>
  <si>
    <t>97908 24320</t>
  </si>
  <si>
    <t xml:space="preserve"> somasekar</t>
  </si>
  <si>
    <t>99946 01442</t>
  </si>
  <si>
    <t xml:space="preserve"> 100ml medicine bottle - 1</t>
  </si>
  <si>
    <t>Kalai selvi - 91</t>
  </si>
  <si>
    <t>-reiki level -1</t>
  </si>
  <si>
    <t>Sharmila varshika -91</t>
  </si>
  <si>
    <t>Francia -</t>
  </si>
  <si>
    <t xml:space="preserve"> - Mohanavalli - </t>
  </si>
  <si>
    <t>Preya Raj - +</t>
  </si>
  <si>
    <t xml:space="preserve">61 425 747 709 </t>
  </si>
  <si>
    <t xml:space="preserve">Priya - </t>
  </si>
  <si>
    <t>- reiki level -1</t>
  </si>
  <si>
    <t xml:space="preserve"> - suresh</t>
  </si>
  <si>
    <t>89039 36101</t>
  </si>
  <si>
    <t xml:space="preserve"> - gomathi</t>
  </si>
  <si>
    <t>80192 77912</t>
  </si>
  <si>
    <t xml:space="preserve">sakthisuresh - </t>
  </si>
  <si>
    <t xml:space="preserve">8826647516 - </t>
  </si>
  <si>
    <t>Dharshika</t>
  </si>
  <si>
    <t xml:space="preserve">Uma </t>
  </si>
  <si>
    <t xml:space="preserve">Kishanth </t>
  </si>
  <si>
    <t>- +919551554493</t>
  </si>
  <si>
    <t xml:space="preserve">Chandra </t>
  </si>
  <si>
    <t xml:space="preserve">91 94458 28494 </t>
  </si>
  <si>
    <t xml:space="preserve"> Chithra</t>
  </si>
  <si>
    <t xml:space="preserve"> sri devi</t>
  </si>
  <si>
    <t>Dhivya</t>
  </si>
  <si>
    <t>Nisha</t>
  </si>
  <si>
    <t xml:space="preserve"> +91 94981 76523 </t>
  </si>
  <si>
    <t>Latha</t>
  </si>
  <si>
    <t xml:space="preserve"> sumathi </t>
  </si>
  <si>
    <t>Shamili</t>
  </si>
  <si>
    <t>Manimegali</t>
  </si>
  <si>
    <t xml:space="preserve"> Rathi </t>
  </si>
  <si>
    <t>91 73387 77518</t>
  </si>
  <si>
    <t>Aravind</t>
  </si>
  <si>
    <t>83002 42925</t>
  </si>
  <si>
    <t xml:space="preserve">Ramya </t>
  </si>
  <si>
    <t xml:space="preserve">1 (402) 517-7767 </t>
  </si>
  <si>
    <t>2 per joined</t>
  </si>
  <si>
    <t xml:space="preserve">Nivitha </t>
  </si>
  <si>
    <t xml:space="preserve"> Raheela </t>
  </si>
  <si>
    <t xml:space="preserve">91 98433 43290 </t>
  </si>
  <si>
    <t>padmasukumaran - +91</t>
  </si>
  <si>
    <t>Gowtham -</t>
  </si>
  <si>
    <t>918438612756 -</t>
  </si>
  <si>
    <t>-Reiki level -1</t>
  </si>
  <si>
    <t>Raajaas - +91</t>
  </si>
  <si>
    <t xml:space="preserve">9043499325 - </t>
  </si>
  <si>
    <t>swathakambaraj - +91 -</t>
  </si>
  <si>
    <t xml:space="preserve"> - Sudha Devi -</t>
  </si>
  <si>
    <t xml:space="preserve"> Reiki level-1</t>
  </si>
  <si>
    <t xml:space="preserve">Gayathri - +915 - </t>
  </si>
  <si>
    <t>Aarthi -  +91</t>
  </si>
  <si>
    <t xml:space="preserve">9443090397 - </t>
  </si>
  <si>
    <t>Cho ku rei silver pendant-1</t>
  </si>
  <si>
    <t>Krithi -  +91</t>
  </si>
  <si>
    <t>9384784415 -</t>
  </si>
  <si>
    <t>- uma maheswari -</t>
  </si>
  <si>
    <t>Padma Guna - +91-</t>
  </si>
  <si>
    <t>- kavya</t>
  </si>
  <si>
    <t xml:space="preserve">96888 69101 </t>
  </si>
  <si>
    <t>Rosy rincy - +91-</t>
  </si>
  <si>
    <t>Naveen-+91</t>
  </si>
  <si>
    <t xml:space="preserve"> 63799 86233</t>
  </si>
  <si>
    <t>vaishunivi - +91</t>
  </si>
  <si>
    <t xml:space="preserve">9884393038 - </t>
  </si>
  <si>
    <t>shalini -  +91</t>
  </si>
  <si>
    <t xml:space="preserve">9842538848 - </t>
  </si>
  <si>
    <t>Sudarsanam  - +91</t>
  </si>
  <si>
    <t xml:space="preserve"> Personal healing 6 session</t>
  </si>
  <si>
    <t>Padma - +91-</t>
  </si>
  <si>
    <t xml:space="preserve">Jothimani -  +91 - </t>
  </si>
  <si>
    <t>Kavitha - 91</t>
  </si>
  <si>
    <t>- level 1</t>
  </si>
  <si>
    <t>Vetrivel Vastu Sasthiram - +91</t>
  </si>
  <si>
    <t>- Lakshmi</t>
  </si>
  <si>
    <t xml:space="preserve">98407 43349 </t>
  </si>
  <si>
    <t>- Anu</t>
  </si>
  <si>
    <t xml:space="preserve">99428 38888 </t>
  </si>
  <si>
    <t xml:space="preserve">Pavithra - +91 </t>
  </si>
  <si>
    <t xml:space="preserve">63801 25482 - </t>
  </si>
  <si>
    <t>Black Tourmaline Pyramid - 1
7chakra pyramid - 1
Money magnet bracelet - 1</t>
  </si>
  <si>
    <t>Sathya praba - +91-</t>
  </si>
  <si>
    <t xml:space="preserve">Jayashree - </t>
  </si>
  <si>
    <t xml:space="preserve"> kavipreetha</t>
  </si>
  <si>
    <t xml:space="preserve"> 97891 10544</t>
  </si>
  <si>
    <t>Lavanya - +91</t>
  </si>
  <si>
    <t>Gayathri - 91</t>
  </si>
  <si>
    <t>7338704822 -</t>
  </si>
  <si>
    <t>Siraj munira - +91-</t>
  </si>
  <si>
    <t>Santha Manikandan - +91-</t>
  </si>
  <si>
    <t>200 bla</t>
  </si>
  <si>
    <t>aadhira -</t>
  </si>
  <si>
    <t>FT26064T9/2WHOF</t>
  </si>
  <si>
    <t>Balance 200rs tomorrow send panuvaga</t>
  </si>
  <si>
    <t>Deepthipranab -  +91</t>
  </si>
  <si>
    <t>9074838591 -</t>
  </si>
  <si>
    <t>level1</t>
  </si>
  <si>
    <t xml:space="preserve">Mohanam Suriya - +91 </t>
  </si>
  <si>
    <t>-level 1</t>
  </si>
  <si>
    <t xml:space="preserve">Preethi Rajesh -  + - </t>
  </si>
  <si>
    <t xml:space="preserve">kavimalar - +91- </t>
  </si>
  <si>
    <t>Sterly  - +91</t>
  </si>
  <si>
    <t xml:space="preserve">Veeran - </t>
  </si>
  <si>
    <t xml:space="preserve">65 8657 6189 - </t>
  </si>
  <si>
    <t>Reiki level 1( 3mem)</t>
  </si>
  <si>
    <t>Karthika  - +91-</t>
  </si>
  <si>
    <t>Madhavi - +91</t>
  </si>
  <si>
    <t>ANITHA ASHOKRAJ - +91</t>
  </si>
  <si>
    <t>9585888333 -</t>
  </si>
  <si>
    <t>Kanmani - 91</t>
  </si>
  <si>
    <t>- komathi -</t>
  </si>
  <si>
    <t>Harshitha - +91-</t>
  </si>
  <si>
    <t>suji - +91</t>
  </si>
  <si>
    <t>6374168390 -</t>
  </si>
  <si>
    <t>BuwaneswariMadhavan</t>
  </si>
  <si>
    <t>ananthichidambaram7</t>
  </si>
  <si>
    <t>anugraka05</t>
  </si>
  <si>
    <t>7200735736-</t>
  </si>
  <si>
    <t xml:space="preserve"> Ganga Devi</t>
  </si>
  <si>
    <t xml:space="preserve"> 82204 94488 </t>
  </si>
  <si>
    <t>Naresh - 91</t>
  </si>
  <si>
    <t>Dr.Harsha Varthani</t>
  </si>
  <si>
    <t>Vikas - +91</t>
  </si>
  <si>
    <t>9751216604 -</t>
  </si>
  <si>
    <t xml:space="preserve"> 15min Urgent App</t>
  </si>
  <si>
    <t xml:space="preserve"> - prema</t>
  </si>
  <si>
    <t>96006 75528</t>
  </si>
  <si>
    <t>darshini - +91</t>
  </si>
  <si>
    <t xml:space="preserve">9060030013 - </t>
  </si>
  <si>
    <t>Black Tourmaline bracelet 1</t>
  </si>
  <si>
    <t>Vitia</t>
  </si>
  <si>
    <t>26/03/26</t>
  </si>
  <si>
    <t>Hema - +-</t>
  </si>
  <si>
    <t xml:space="preserve">1 (908) 240-0054 </t>
  </si>
  <si>
    <t xml:space="preserve"> 100ml medicine -2 shipping charge - 4500rs</t>
  </si>
  <si>
    <t>Gayathri -</t>
  </si>
  <si>
    <t xml:space="preserve"> 658334015 -</t>
  </si>
  <si>
    <t>#2040115885</t>
  </si>
  <si>
    <t xml:space="preserve"> Black tourmaline bracelet - 2
Rose quartz bracelet - 1
Citrine tumble stone set - 1
Shipping charge - 3700rs</t>
  </si>
  <si>
    <t>Sri Varshan - +91-</t>
  </si>
  <si>
    <t xml:space="preserve">Maleeshwari - +91 </t>
  </si>
  <si>
    <t>98944 11792 -</t>
  </si>
  <si>
    <t xml:space="preserve"> - Harshan</t>
  </si>
  <si>
    <t>Sigil money card</t>
  </si>
  <si>
    <t xml:space="preserve">Parvathy Gowrisankar - +91- </t>
  </si>
  <si>
    <t xml:space="preserve">Madhumathi - +91 - </t>
  </si>
  <si>
    <t xml:space="preserve"> 91766 46646</t>
  </si>
  <si>
    <t>100ml -</t>
  </si>
  <si>
    <t xml:space="preserve">Nandhana - +91 </t>
  </si>
  <si>
    <t xml:space="preserve">79044 21865 </t>
  </si>
  <si>
    <t>- Kumbam Rasi crystal - 1</t>
  </si>
  <si>
    <t>Srividhyaramji - +91</t>
  </si>
  <si>
    <t>9597961006 -</t>
  </si>
  <si>
    <t>Madhan - +91</t>
  </si>
  <si>
    <t>- lama fera certificate - 1</t>
  </si>
  <si>
    <t>27/03/26</t>
  </si>
  <si>
    <t>Rajavino  -</t>
  </si>
  <si>
    <t xml:space="preserve"> Tarot card reading class</t>
  </si>
  <si>
    <t xml:space="preserve"> - mujahid </t>
  </si>
  <si>
    <t>86101 71030</t>
  </si>
  <si>
    <t>- 15 min
Balancr amount refund achi ipo send panuvaga</t>
  </si>
  <si>
    <t xml:space="preserve">jakulin -  +91- </t>
  </si>
  <si>
    <t>Uma Ravi -91</t>
  </si>
  <si>
    <t>Aadhilakshmi - +91-</t>
  </si>
  <si>
    <t>Karthik - +91</t>
  </si>
  <si>
    <t>8015151622 -</t>
  </si>
  <si>
    <t xml:space="preserve"> zibu combo crystal - 1 set</t>
  </si>
  <si>
    <t xml:space="preserve"> bhuvaneshwari</t>
  </si>
  <si>
    <t>93617 68816</t>
  </si>
  <si>
    <t xml:space="preserve"> tarot class</t>
  </si>
  <si>
    <t xml:space="preserve"> elakiya</t>
  </si>
  <si>
    <t>98400 20772</t>
  </si>
  <si>
    <t xml:space="preserve"> 30min appointment
Balance amount waiting</t>
  </si>
  <si>
    <t>zeen Deivamani - +91-</t>
  </si>
  <si>
    <t>7418188704 -</t>
  </si>
  <si>
    <t xml:space="preserve"> reiki lev el 2</t>
  </si>
  <si>
    <t xml:space="preserve">Anitha raja - +91 </t>
  </si>
  <si>
    <t>- Lava 7 chakra bracelet - 1
pyrite bracelet - 1</t>
  </si>
  <si>
    <t>28/03/26</t>
  </si>
  <si>
    <t>Anju - +91-</t>
  </si>
  <si>
    <t xml:space="preserve"> 90619 45126 </t>
  </si>
  <si>
    <t xml:space="preserve">Aishwarya - +91- </t>
  </si>
  <si>
    <t xml:space="preserve"> 82488 62350 </t>
  </si>
  <si>
    <t>Tamil selvi - +91</t>
  </si>
  <si>
    <t>8148260694-</t>
  </si>
  <si>
    <t>dhevika muthu - +91</t>
  </si>
  <si>
    <t xml:space="preserve">9080686192 - </t>
  </si>
  <si>
    <t>Thanusu raasi bracelet 1</t>
  </si>
  <si>
    <t xml:space="preserve">Deepak Kumar -+91 </t>
  </si>
  <si>
    <t>97872 14918 -</t>
  </si>
  <si>
    <t>- Priya</t>
  </si>
  <si>
    <t xml:space="preserve"> - Dharini</t>
  </si>
  <si>
    <t>Merlin - +91</t>
  </si>
  <si>
    <t xml:space="preserve"> 95383 47897 -</t>
  </si>
  <si>
    <t xml:space="preserve"> Black Tourmaline Pyramid - 1
Citrine pyramid - 1
Triple Protection bracelet - 2</t>
  </si>
  <si>
    <t xml:space="preserve"> 7358963353 -</t>
  </si>
  <si>
    <t xml:space="preserve"> Money magnet bracelet - 1</t>
  </si>
  <si>
    <t>Hemalatha - +91 -</t>
  </si>
  <si>
    <t xml:space="preserve"> 84384 82661</t>
  </si>
  <si>
    <t xml:space="preserve"> 50ml medicine 1</t>
  </si>
  <si>
    <t xml:space="preserve">Puvi - +91  - </t>
  </si>
  <si>
    <t>97907 96599</t>
  </si>
  <si>
    <t>Tigers eye bracelet - 1</t>
  </si>
  <si>
    <t xml:space="preserve"> - Vimala </t>
  </si>
  <si>
    <t>49 176 87319020</t>
  </si>
  <si>
    <r>
      <rPr>
        <rFont val="Arial"/>
        <color theme="1"/>
        <sz val="11.0"/>
      </rPr>
      <t xml:space="preserve">Tarot reading class
Brown gown -1
 Aura cleansing spray -2,
 March and April Brahma mugurtha
</t>
    </r>
    <r>
      <rPr>
        <rFont val="Arial"/>
        <b/>
        <color theme="1"/>
        <sz val="11.0"/>
      </rPr>
      <t>Balance amount - 8,678rs nambakitta irukku</t>
    </r>
  </si>
  <si>
    <t xml:space="preserve"> - Bhuvaneswari -</t>
  </si>
  <si>
    <t>79045 18413</t>
  </si>
  <si>
    <t xml:space="preserve">K Paarthibhan - +91- </t>
  </si>
  <si>
    <t>Sobiya</t>
  </si>
  <si>
    <t xml:space="preserve">93421 27442 </t>
  </si>
  <si>
    <t>mithunam rasi bracelet - 
1 already 3rd nambar kita Iruku</t>
  </si>
  <si>
    <t xml:space="preserve">Lakshmi - +91 </t>
  </si>
  <si>
    <t xml:space="preserve"> 97890 47634 </t>
  </si>
  <si>
    <t xml:space="preserve"> selinite plate</t>
  </si>
  <si>
    <t>Thenmozhi dubai</t>
  </si>
  <si>
    <t>971 50 247 9639</t>
  </si>
  <si>
    <t>Fullmoonday &amp; brahma mugurtha
Balance amount waiting</t>
  </si>
  <si>
    <t>29/03/26</t>
  </si>
  <si>
    <t xml:space="preserve">seemaabi - +91 - </t>
  </si>
  <si>
    <t>reiki level-2</t>
  </si>
  <si>
    <t xml:space="preserve">B.SASIKALA - +91 - </t>
  </si>
  <si>
    <t>Tarot Reading class</t>
  </si>
  <si>
    <t>87786 57577</t>
  </si>
  <si>
    <t xml:space="preserve"> mahalaxmi</t>
  </si>
  <si>
    <t>86556 97598</t>
  </si>
  <si>
    <t xml:space="preserve"> 15min appointment</t>
  </si>
  <si>
    <t>Glory</t>
  </si>
  <si>
    <t>Gomathi - 91</t>
  </si>
  <si>
    <t>8019277912 -</t>
  </si>
  <si>
    <t xml:space="preserve"> citrine pyramid - 1</t>
  </si>
  <si>
    <t xml:space="preserve">Viji - 91- </t>
  </si>
  <si>
    <t xml:space="preserve">Indra - +91 - </t>
  </si>
  <si>
    <t xml:space="preserve">90036 36883 </t>
  </si>
  <si>
    <t>30/03/26</t>
  </si>
  <si>
    <t>Banu - +91 -</t>
  </si>
  <si>
    <t xml:space="preserve"> - Sabitha - </t>
  </si>
  <si>
    <t>mithunam rasi -1
Dhanusu rasi bracelet -1</t>
  </si>
  <si>
    <t>Mekala -</t>
  </si>
  <si>
    <t>9715726026-</t>
  </si>
  <si>
    <t xml:space="preserve">Priya - +91 - </t>
  </si>
  <si>
    <t xml:space="preserve">97863 38562 </t>
  </si>
  <si>
    <t xml:space="preserve"> - geetha balakrishnan- </t>
  </si>
  <si>
    <t xml:space="preserve">Karthika  - </t>
  </si>
  <si>
    <t xml:space="preserve"> 7708001242 -</t>
  </si>
  <si>
    <t>Reiki  level 2</t>
  </si>
  <si>
    <t>Sridevi - 91 -</t>
  </si>
  <si>
    <t xml:space="preserve">Selvi - </t>
  </si>
  <si>
    <t xml:space="preserve"> +15866636150 -</t>
  </si>
  <si>
    <t xml:space="preserve">Selvi -  </t>
  </si>
  <si>
    <t>Tarot card reading class</t>
  </si>
  <si>
    <t>KARUPPAIYAN T - +91</t>
  </si>
  <si>
    <t xml:space="preserve"> 100ml medicine - 1</t>
  </si>
  <si>
    <t>Asha - +9 -</t>
  </si>
  <si>
    <t>RAMJI -  +91 -</t>
  </si>
  <si>
    <t xml:space="preserve">Sailaja-+ </t>
  </si>
  <si>
    <t>64 27 378 0663 -</t>
  </si>
  <si>
    <t>200 bal</t>
  </si>
  <si>
    <t xml:space="preserve">Aadhilakshmi - +91 </t>
  </si>
  <si>
    <t xml:space="preserve"> 90429 39548-</t>
  </si>
  <si>
    <t>100ml - 1</t>
  </si>
  <si>
    <t>Sowmya Raghavan - +91-</t>
  </si>
  <si>
    <t xml:space="preserve">Archana - +91 - </t>
  </si>
  <si>
    <t xml:space="preserve">73970 70763 </t>
  </si>
  <si>
    <t>mesham rasi</t>
  </si>
  <si>
    <t xml:space="preserve">Naveen -+91 </t>
  </si>
  <si>
    <t xml:space="preserve"> 63799 86233 -</t>
  </si>
  <si>
    <t xml:space="preserve">Karthiha - +91 - </t>
  </si>
  <si>
    <t>70309 77861</t>
  </si>
  <si>
    <t>distance Healing Session-3</t>
  </si>
  <si>
    <t>31/03/26</t>
  </si>
  <si>
    <t>Mayilsamy</t>
  </si>
  <si>
    <t xml:space="preserve">87600 30034 </t>
  </si>
  <si>
    <t xml:space="preserve">Yogalakshmi - +91 - </t>
  </si>
  <si>
    <t xml:space="preserve">94449 23593 </t>
  </si>
  <si>
    <t xml:space="preserve">63794 98990 </t>
  </si>
  <si>
    <t>valentines combo crystal</t>
  </si>
  <si>
    <t xml:space="preserve">Kavitha - - </t>
  </si>
  <si>
    <t xml:space="preserve">86109 21890 </t>
  </si>
  <si>
    <t>cho ku rei silver pendent</t>
  </si>
  <si>
    <t xml:space="preserve">mahisivaguru - +91- </t>
  </si>
  <si>
    <t>Black tourmaline bracelet 1</t>
  </si>
  <si>
    <t xml:space="preserve">Nandhini -  +91- </t>
  </si>
  <si>
    <t>Suwetha +91 -</t>
  </si>
  <si>
    <t>Divya -+91 -</t>
  </si>
  <si>
    <t xml:space="preserve">99949 61421 </t>
  </si>
  <si>
    <t xml:space="preserve"> 15min Appointment</t>
  </si>
  <si>
    <t>Annadhanam +Fullmoonday = 500+130=Rs630</t>
  </si>
  <si>
    <t xml:space="preserve"> anuja </t>
  </si>
  <si>
    <t xml:space="preserve"> 85471 71514</t>
  </si>
  <si>
    <t>- Saraswathi</t>
  </si>
  <si>
    <t xml:space="preserve">88830 45607 </t>
  </si>
  <si>
    <t>1150 bal</t>
  </si>
  <si>
    <t>ANUSREEKC</t>
  </si>
  <si>
    <t>97899 85218</t>
  </si>
  <si>
    <t xml:space="preserve"> - Reiki Level 2</t>
  </si>
  <si>
    <t xml:space="preserve">Chithra M </t>
  </si>
  <si>
    <t xml:space="preserve"> - kowsalya</t>
  </si>
  <si>
    <t>97154 20099</t>
  </si>
  <si>
    <t>Kadakam rasi bracelet -1
Full moon day - 1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</si>
</sst>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"/>
    <numFmt numFmtId="165" formatCode="m/d/yyyy"/>
    <numFmt numFmtId="166" formatCode="m/d/yy"/>
    <numFmt numFmtId="167" formatCode="mmm d"/>
    <numFmt numFmtId="168" formatCode="mm/dd/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rgb="FF980000"/>
      <name val="Arial"/>
    </font>
    <font>
      <b/>
      <sz val="12.0"/>
      <color theme="1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2" fontId="3" numFmtId="0" xfId="0" applyFill="1" applyFont="1"/>
    <xf borderId="0" fillId="3" fontId="3" numFmtId="0" xfId="0" applyFill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2" fontId="4" numFmtId="164" xfId="0" applyAlignment="1" applyFont="1" applyNumberFormat="1">
      <alignment horizontal="center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 vertical="center"/>
    </xf>
    <xf borderId="0" fillId="0" fontId="11" numFmtId="0" xfId="0" applyFont="1"/>
    <xf borderId="0" fillId="0" fontId="4" numFmtId="165" xfId="0" applyAlignment="1" applyFont="1" applyNumberFormat="1">
      <alignment horizontal="center" readingOrder="0"/>
    </xf>
    <xf borderId="0" fillId="2" fontId="4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9" numFmtId="164" xfId="0" applyAlignment="1" applyFont="1" applyNumberFormat="1">
      <alignment horizontal="center" readingOrder="0" shrinkToFit="0" vertical="bottom" wrapText="0"/>
    </xf>
    <xf borderId="0" fillId="2" fontId="9" numFmtId="0" xfId="0" applyAlignment="1" applyFont="1">
      <alignment horizontal="center"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13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/>
    </xf>
    <xf borderId="0" fillId="0" fontId="9" numFmtId="165" xfId="0" applyAlignment="1" applyFont="1" applyNumberFormat="1">
      <alignment horizontal="center" readingOrder="0" shrinkToFit="0" vertical="bottom" wrapText="0"/>
    </xf>
    <xf borderId="0" fillId="0" fontId="9" numFmtId="166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0" fontId="4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4" numFmtId="168" xfId="0" applyAlignment="1" applyFont="1" applyNumberFormat="1">
      <alignment horizontal="center" readingOrder="0"/>
    </xf>
    <xf borderId="0" fillId="4" fontId="8" numFmtId="0" xfId="0" applyAlignment="1" applyFont="1">
      <alignment horizontal="center" readingOrder="0"/>
    </xf>
    <xf borderId="0" fillId="4" fontId="4" numFmtId="3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vertical="bottom"/>
    </xf>
    <xf borderId="0" fillId="4" fontId="1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4" fontId="1" numFmtId="0" xfId="0" applyAlignment="1" applyFont="1">
      <alignment readingOrder="0"/>
    </xf>
    <xf borderId="0" fillId="4" fontId="1" numFmtId="0" xfId="0" applyFont="1"/>
    <xf borderId="0" fillId="5" fontId="4" numFmtId="0" xfId="0" applyAlignment="1" applyFill="1" applyFont="1">
      <alignment horizontal="center" readingOrder="0"/>
    </xf>
    <xf borderId="0" fillId="2" fontId="14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4" fontId="4" numFmtId="0" xfId="0" applyAlignment="1" applyFont="1">
      <alignment horizontal="center" vertical="bottom"/>
    </xf>
    <xf borderId="0" fillId="0" fontId="15" numFmtId="0" xfId="0" applyAlignment="1" applyFont="1">
      <alignment horizontal="center"/>
    </xf>
    <xf borderId="0" fillId="0" fontId="16" numFmtId="0" xfId="0" applyFont="1"/>
    <xf borderId="0" fillId="2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3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1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5.38"/>
    <col customWidth="1" min="3" max="3" width="22.25"/>
    <col customWidth="1" min="4" max="4" width="30.5"/>
    <col customWidth="1" min="5" max="5" width="11.0"/>
    <col customWidth="1" min="6" max="6" width="43.13"/>
    <col customWidth="1" min="8" max="8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46025.0</v>
      </c>
      <c r="B2" s="5" t="s">
        <v>6</v>
      </c>
      <c r="C2" s="6">
        <v>1.4162716046E10</v>
      </c>
      <c r="D2" s="7"/>
      <c r="E2" s="6">
        <v>5250.0</v>
      </c>
      <c r="F2" s="6" t="s">
        <v>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6" t="s">
        <v>8</v>
      </c>
      <c r="C3" s="6" t="s">
        <v>9</v>
      </c>
      <c r="D3" s="7">
        <v>6.42663372275E11</v>
      </c>
      <c r="E3" s="6">
        <v>3150.0</v>
      </c>
      <c r="F3" s="6" t="s">
        <v>10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6" t="s">
        <v>11</v>
      </c>
      <c r="C4" s="6">
        <v>9.78781111E9</v>
      </c>
      <c r="D4" s="7">
        <v>6.42641776867E11</v>
      </c>
      <c r="E4" s="6">
        <v>1504.0</v>
      </c>
      <c r="F4" s="6" t="s">
        <v>12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6" t="s">
        <v>13</v>
      </c>
      <c r="C5" s="6">
        <v>9.597016987E9</v>
      </c>
      <c r="D5" s="7">
        <v>6.42678081691E11</v>
      </c>
      <c r="E5" s="6">
        <v>3150.0</v>
      </c>
      <c r="F5" s="6" t="s">
        <v>14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6" t="s">
        <v>15</v>
      </c>
      <c r="C6" s="6" t="s">
        <v>16</v>
      </c>
      <c r="D6" s="7">
        <v>6.06099441094E11</v>
      </c>
      <c r="E6" s="6">
        <v>1504.0</v>
      </c>
      <c r="F6" s="6" t="s">
        <v>17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6" t="s">
        <v>18</v>
      </c>
      <c r="C7" s="6">
        <v>9.840140164E9</v>
      </c>
      <c r="D7" s="7" t="s">
        <v>19</v>
      </c>
      <c r="E7" s="6">
        <v>3150.0</v>
      </c>
      <c r="F7" s="6" t="s">
        <v>20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6" t="s">
        <v>21</v>
      </c>
      <c r="C8" s="6">
        <v>8.015565792E9</v>
      </c>
      <c r="D8" s="7">
        <v>6.06090278759E11</v>
      </c>
      <c r="E8" s="6">
        <v>1504.0</v>
      </c>
      <c r="F8" s="6" t="s">
        <v>22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23</v>
      </c>
      <c r="B9" s="6" t="s">
        <v>24</v>
      </c>
      <c r="C9" s="6">
        <v>9.585613577E9</v>
      </c>
      <c r="D9" s="7" t="s">
        <v>25</v>
      </c>
      <c r="E9" s="6">
        <v>3150.0</v>
      </c>
      <c r="F9" s="6" t="s">
        <v>26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6" t="s">
        <v>27</v>
      </c>
      <c r="C10" s="6">
        <v>9.84090061E9</v>
      </c>
      <c r="D10" s="7" t="s">
        <v>28</v>
      </c>
      <c r="E10" s="6">
        <v>3150.0</v>
      </c>
      <c r="F10" s="6" t="s">
        <v>29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6" t="s">
        <v>30</v>
      </c>
      <c r="C11" s="6" t="s">
        <v>31</v>
      </c>
      <c r="D11" s="7">
        <v>1.19327783912E11</v>
      </c>
      <c r="E11" s="6">
        <v>4611.0</v>
      </c>
      <c r="F11" s="6" t="s">
        <v>32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6" t="s">
        <v>33</v>
      </c>
      <c r="C12" s="6" t="s">
        <v>34</v>
      </c>
      <c r="D12" s="7">
        <v>1.09287775029E11</v>
      </c>
      <c r="E12" s="6">
        <v>1180.0</v>
      </c>
      <c r="F12" s="6" t="s">
        <v>35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6" t="s">
        <v>36</v>
      </c>
      <c r="C13" s="6">
        <v>8.675164899E9</v>
      </c>
      <c r="D13" s="7">
        <v>3.25896541964E11</v>
      </c>
      <c r="E13" s="6">
        <v>2360.0</v>
      </c>
      <c r="F13" s="6" t="s">
        <v>37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6" t="s">
        <v>38</v>
      </c>
      <c r="C14" s="6" t="s">
        <v>39</v>
      </c>
      <c r="D14" s="7" t="s">
        <v>40</v>
      </c>
      <c r="E14" s="6">
        <v>3150.0</v>
      </c>
      <c r="F14" s="6" t="s">
        <v>29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6" t="s">
        <v>41</v>
      </c>
      <c r="C15" s="6">
        <v>9.108572952E9</v>
      </c>
      <c r="D15" s="7" t="s">
        <v>42</v>
      </c>
      <c r="E15" s="6">
        <v>3150.0</v>
      </c>
      <c r="F15" s="6" t="s">
        <v>43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6" t="s">
        <v>44</v>
      </c>
      <c r="C16" s="6">
        <v>8.189940748E9</v>
      </c>
      <c r="D16" s="7">
        <v>6.06024564779E11</v>
      </c>
      <c r="E16" s="6">
        <v>1503.0</v>
      </c>
      <c r="F16" s="6" t="s">
        <v>45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6" t="s">
        <v>46</v>
      </c>
      <c r="C17" s="6" t="s">
        <v>47</v>
      </c>
      <c r="D17" s="7">
        <v>1.19348647668E11</v>
      </c>
      <c r="E17" s="6">
        <v>1504.0</v>
      </c>
      <c r="F17" s="6" t="s">
        <v>48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6" t="s">
        <v>49</v>
      </c>
      <c r="C18" s="6">
        <v>7.30535594E9</v>
      </c>
      <c r="D18" s="7">
        <v>6.06010019068E11</v>
      </c>
      <c r="E18" s="6">
        <v>350.0</v>
      </c>
      <c r="F18" s="6" t="s">
        <v>50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6" t="s">
        <v>51</v>
      </c>
      <c r="C19" s="6">
        <v>9.600906444E9</v>
      </c>
      <c r="D19" s="7">
        <v>6.06066120278E11</v>
      </c>
      <c r="E19" s="6">
        <v>1503.0</v>
      </c>
      <c r="F19" s="6" t="s">
        <v>52</v>
      </c>
      <c r="G19" s="10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9"/>
      <c r="B20" s="6" t="s">
        <v>53</v>
      </c>
      <c r="C20" s="6">
        <v>8.825788252E9</v>
      </c>
      <c r="D20" s="7">
        <v>6.06051373629E11</v>
      </c>
      <c r="E20" s="6">
        <v>3150.0</v>
      </c>
      <c r="F20" s="6" t="s">
        <v>54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6" t="s">
        <v>55</v>
      </c>
      <c r="C21" s="6" t="s">
        <v>56</v>
      </c>
      <c r="D21" s="7"/>
      <c r="E21" s="6">
        <v>8012.0</v>
      </c>
      <c r="F21" s="6" t="s">
        <v>57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6" t="s">
        <v>58</v>
      </c>
      <c r="C22" s="6">
        <v>7.708234695E9</v>
      </c>
      <c r="D22" s="12" t="s">
        <v>59</v>
      </c>
      <c r="E22" s="6">
        <v>3150.0</v>
      </c>
      <c r="F22" s="6" t="s">
        <v>54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6" t="s">
        <v>60</v>
      </c>
      <c r="C23" s="6">
        <v>9.789941122E9</v>
      </c>
      <c r="D23" s="7">
        <v>6.06053551453E11</v>
      </c>
      <c r="E23" s="6">
        <v>3150.0</v>
      </c>
      <c r="F23" s="6" t="s">
        <v>61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6" t="s">
        <v>62</v>
      </c>
      <c r="C24" s="6">
        <v>9.994592046E9</v>
      </c>
      <c r="D24" s="7">
        <v>6.06052043033E11</v>
      </c>
      <c r="E24" s="6">
        <v>3150.0</v>
      </c>
      <c r="F24" s="6" t="s">
        <v>63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6" t="s">
        <v>64</v>
      </c>
      <c r="C25" s="6">
        <v>9.962116791E9</v>
      </c>
      <c r="D25" s="7">
        <v>6.06023572692E11</v>
      </c>
      <c r="E25" s="6">
        <v>1504.0</v>
      </c>
      <c r="F25" s="6" t="s">
        <v>65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6" t="s">
        <v>66</v>
      </c>
      <c r="C26" s="6">
        <v>9.943534995E9</v>
      </c>
      <c r="D26" s="7">
        <v>4.71706058466E11</v>
      </c>
      <c r="E26" s="6">
        <v>3150.0</v>
      </c>
      <c r="F26" s="6" t="s">
        <v>63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6" t="s">
        <v>67</v>
      </c>
      <c r="C27" s="6" t="s">
        <v>68</v>
      </c>
      <c r="D27" s="7">
        <v>6.06000556995E11</v>
      </c>
      <c r="E27" s="6">
        <v>1180.0</v>
      </c>
      <c r="F27" s="6" t="s">
        <v>69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6" t="s">
        <v>70</v>
      </c>
      <c r="C28" s="6" t="s">
        <v>71</v>
      </c>
      <c r="D28" s="7">
        <v>3.4727052E7</v>
      </c>
      <c r="E28" s="6">
        <v>8107.0</v>
      </c>
      <c r="F28" s="6" t="s">
        <v>72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>
        <v>46056.0</v>
      </c>
      <c r="B29" s="6" t="s">
        <v>73</v>
      </c>
      <c r="C29" s="6" t="s">
        <v>74</v>
      </c>
      <c r="D29" s="7">
        <v>4.60274108112E11</v>
      </c>
      <c r="E29" s="6">
        <v>8400.0</v>
      </c>
      <c r="F29" s="6" t="s">
        <v>75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6" t="s">
        <v>76</v>
      </c>
      <c r="C30" s="6">
        <v>8.75484675E9</v>
      </c>
      <c r="D30" s="7">
        <v>6.06131986254E11</v>
      </c>
      <c r="E30" s="6">
        <v>3150.0</v>
      </c>
      <c r="F30" s="6" t="s">
        <v>43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6" t="s">
        <v>77</v>
      </c>
      <c r="C31" s="6">
        <v>8.056314805E9</v>
      </c>
      <c r="D31" s="7">
        <v>9.77790509534E11</v>
      </c>
      <c r="E31" s="6">
        <v>3150.0</v>
      </c>
      <c r="F31" s="6" t="s">
        <v>43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6" t="s">
        <v>78</v>
      </c>
      <c r="C32" s="6" t="s">
        <v>79</v>
      </c>
      <c r="D32" s="7">
        <v>6.06141653215E11</v>
      </c>
      <c r="E32" s="6">
        <v>1503.0</v>
      </c>
      <c r="F32" s="6" t="s">
        <v>80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6" t="s">
        <v>81</v>
      </c>
      <c r="C33" s="6" t="s">
        <v>82</v>
      </c>
      <c r="D33" s="13">
        <v>6.06115088779E11</v>
      </c>
      <c r="E33" s="6">
        <v>3150.0</v>
      </c>
      <c r="F33" s="6" t="s">
        <v>43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9"/>
      <c r="B34" s="6" t="s">
        <v>83</v>
      </c>
      <c r="C34" s="6" t="s">
        <v>84</v>
      </c>
      <c r="D34" s="7" t="s">
        <v>85</v>
      </c>
      <c r="E34" s="6">
        <v>3150.0</v>
      </c>
      <c r="F34" s="6" t="s">
        <v>61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6" t="s">
        <v>86</v>
      </c>
      <c r="C35" s="6" t="s">
        <v>87</v>
      </c>
      <c r="D35" s="15" t="s">
        <v>88</v>
      </c>
      <c r="E35" s="6">
        <v>3150.0</v>
      </c>
      <c r="F35" s="6" t="s">
        <v>61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6" t="s">
        <v>89</v>
      </c>
      <c r="C36" s="6" t="s">
        <v>90</v>
      </c>
      <c r="D36" s="15" t="s">
        <v>91</v>
      </c>
      <c r="E36" s="6">
        <v>3150.0</v>
      </c>
      <c r="F36" s="6" t="s">
        <v>61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6" t="s">
        <v>92</v>
      </c>
      <c r="C37" s="6" t="s">
        <v>93</v>
      </c>
      <c r="D37" s="15">
        <v>5.88585026897E11</v>
      </c>
      <c r="E37" s="6">
        <v>3150.0</v>
      </c>
      <c r="F37" s="6" t="s">
        <v>26</v>
      </c>
      <c r="G37" s="1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6" t="s">
        <v>94</v>
      </c>
      <c r="C38" s="6">
        <v>6.382384792E9</v>
      </c>
      <c r="D38" s="15">
        <v>6.06147862329E11</v>
      </c>
      <c r="E38" s="6">
        <v>3150.0</v>
      </c>
      <c r="F38" s="6" t="s">
        <v>10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15" t="s">
        <v>95</v>
      </c>
      <c r="C39" s="15">
        <v>9.444845767E9</v>
      </c>
      <c r="D39" s="15">
        <v>1.19377480789E11</v>
      </c>
      <c r="E39" s="6">
        <v>3150.0</v>
      </c>
      <c r="F39" s="6" t="s">
        <v>96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17" t="s">
        <v>97</v>
      </c>
      <c r="C40" s="15" t="s">
        <v>98</v>
      </c>
      <c r="D40" s="15">
        <v>3.9819311364E11</v>
      </c>
      <c r="E40" s="15">
        <v>630.0</v>
      </c>
      <c r="F40" s="15" t="s">
        <v>99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1" t="s">
        <v>100</v>
      </c>
      <c r="C41" s="15">
        <v>4.474919484E10</v>
      </c>
      <c r="D41" s="15" t="s">
        <v>101</v>
      </c>
      <c r="E41" s="15">
        <v>3261.0</v>
      </c>
      <c r="F41" s="18" t="s">
        <v>102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/>
      <c r="B42" s="1" t="s">
        <v>103</v>
      </c>
      <c r="C42" s="17">
        <v>9.790989441E9</v>
      </c>
      <c r="D42" s="17">
        <v>6.06184171649E11</v>
      </c>
      <c r="E42" s="15">
        <v>1504.0</v>
      </c>
      <c r="F42" s="17" t="s">
        <v>104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9"/>
      <c r="B43" s="15" t="s">
        <v>105</v>
      </c>
      <c r="C43" s="15">
        <v>9.894277788E9</v>
      </c>
      <c r="D43" s="15" t="s">
        <v>106</v>
      </c>
      <c r="E43" s="15">
        <v>3150.0</v>
      </c>
      <c r="F43" s="15" t="s">
        <v>107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15" t="s">
        <v>108</v>
      </c>
      <c r="C44" s="15" t="s">
        <v>109</v>
      </c>
      <c r="D44" s="15">
        <v>6.06125732627E11</v>
      </c>
      <c r="E44" s="15">
        <v>1180.0</v>
      </c>
      <c r="F44" s="15" t="s">
        <v>69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15" t="s">
        <v>110</v>
      </c>
      <c r="C45" s="15" t="s">
        <v>111</v>
      </c>
      <c r="D45" s="15">
        <v>6.06137250128E11</v>
      </c>
      <c r="E45" s="15">
        <v>1180.0</v>
      </c>
      <c r="F45" s="15" t="s">
        <v>112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0"/>
      <c r="B46" s="21" t="s">
        <v>113</v>
      </c>
      <c r="C46" s="21" t="s">
        <v>114</v>
      </c>
      <c r="D46" s="21">
        <v>6.06157189774E11</v>
      </c>
      <c r="E46" s="15">
        <v>3150.0</v>
      </c>
      <c r="F46" s="15" t="s">
        <v>43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0"/>
      <c r="B47" s="21" t="s">
        <v>115</v>
      </c>
      <c r="C47" s="21">
        <v>9.884728001E9</v>
      </c>
      <c r="D47" s="21" t="s">
        <v>116</v>
      </c>
      <c r="E47" s="15">
        <v>3150.0</v>
      </c>
      <c r="F47" s="15" t="s">
        <v>117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/>
      <c r="B48" s="15" t="s">
        <v>118</v>
      </c>
      <c r="C48" s="15">
        <v>9.962116791E9</v>
      </c>
      <c r="D48" s="15" t="s">
        <v>119</v>
      </c>
      <c r="E48" s="15">
        <v>3150.0</v>
      </c>
      <c r="F48" s="15" t="s">
        <v>29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15" t="s">
        <v>120</v>
      </c>
      <c r="C49" s="15">
        <v>9.952723468E9</v>
      </c>
      <c r="D49" s="18" t="s">
        <v>121</v>
      </c>
      <c r="E49" s="15">
        <v>2100.0</v>
      </c>
      <c r="F49" s="15" t="s">
        <v>122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2"/>
      <c r="B50" s="15" t="s">
        <v>123</v>
      </c>
      <c r="C50" s="15">
        <v>9.791044392E9</v>
      </c>
      <c r="D50" s="15">
        <v>1.19394966222E11</v>
      </c>
      <c r="E50" s="15">
        <v>3150.0</v>
      </c>
      <c r="F50" s="15" t="s">
        <v>10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/>
      <c r="B51" s="15" t="s">
        <v>124</v>
      </c>
      <c r="C51" s="15">
        <v>7.010767373E9</v>
      </c>
      <c r="D51" s="15">
        <v>1.09290626227E11</v>
      </c>
      <c r="E51" s="15">
        <v>3150.0</v>
      </c>
      <c r="F51" s="15" t="s">
        <v>10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2"/>
      <c r="B52" s="15" t="s">
        <v>125</v>
      </c>
      <c r="C52" s="15">
        <v>9.486662877E9</v>
      </c>
      <c r="D52" s="15">
        <v>6.42712825324E11</v>
      </c>
      <c r="E52" s="15">
        <v>3150.0</v>
      </c>
      <c r="F52" s="6" t="s">
        <v>43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17" t="s">
        <v>126</v>
      </c>
      <c r="C53" s="6">
        <v>9.483956685E9</v>
      </c>
      <c r="D53" s="6">
        <v>6.06167788149E11</v>
      </c>
      <c r="E53" s="15">
        <v>3150.0</v>
      </c>
      <c r="F53" s="6" t="s">
        <v>127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17" t="s">
        <v>128</v>
      </c>
      <c r="C54" s="6">
        <v>9.176613999E9</v>
      </c>
      <c r="D54" s="6">
        <v>1.19399581256E11</v>
      </c>
      <c r="E54" s="15">
        <v>3150.0</v>
      </c>
      <c r="F54" s="6" t="s">
        <v>63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3" t="s">
        <v>129</v>
      </c>
      <c r="C55" s="17" t="s">
        <v>130</v>
      </c>
      <c r="D55" s="6">
        <v>2.84624166181E11</v>
      </c>
      <c r="E55" s="6">
        <v>1680.0</v>
      </c>
      <c r="F55" s="17" t="s">
        <v>131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1" t="s">
        <v>132</v>
      </c>
      <c r="C56" s="6">
        <v>9.845275016E9</v>
      </c>
      <c r="D56" s="6">
        <v>6.00225559433E11</v>
      </c>
      <c r="E56" s="6">
        <v>3267.0</v>
      </c>
      <c r="F56" s="6" t="s">
        <v>133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/>
      <c r="B57" s="17" t="s">
        <v>134</v>
      </c>
      <c r="C57" s="6">
        <v>9.71509152406E11</v>
      </c>
      <c r="D57" s="17">
        <v>3.98237428464E11</v>
      </c>
      <c r="E57" s="6">
        <v>3507.0</v>
      </c>
      <c r="F57" s="6" t="s">
        <v>135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2">
        <v>46084.0</v>
      </c>
      <c r="B58" s="17" t="s">
        <v>136</v>
      </c>
      <c r="C58" s="6" t="s">
        <v>137</v>
      </c>
      <c r="D58" s="6" t="s">
        <v>138</v>
      </c>
      <c r="E58" s="15">
        <v>1180.0</v>
      </c>
      <c r="F58" s="6" t="s">
        <v>69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6" t="s">
        <v>139</v>
      </c>
      <c r="C59" s="6">
        <v>9.789047634E9</v>
      </c>
      <c r="D59" s="6">
        <v>1.19431941725E11</v>
      </c>
      <c r="E59" s="6">
        <v>1503.0</v>
      </c>
      <c r="F59" s="6" t="s">
        <v>140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5" t="s">
        <v>141</v>
      </c>
      <c r="C60" s="6" t="s">
        <v>142</v>
      </c>
      <c r="D60" s="6">
        <v>6.06298042738E11</v>
      </c>
      <c r="E60" s="6">
        <v>1753.0</v>
      </c>
      <c r="F60" s="17" t="s">
        <v>143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7.25" customHeight="1">
      <c r="A61" s="19"/>
      <c r="B61" s="5" t="s">
        <v>144</v>
      </c>
      <c r="C61" s="6" t="s">
        <v>145</v>
      </c>
      <c r="D61" s="6">
        <v>1.1943485049E11</v>
      </c>
      <c r="E61" s="6">
        <v>1504.0</v>
      </c>
      <c r="F61" s="6" t="s">
        <v>146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17" t="s">
        <v>147</v>
      </c>
      <c r="C62" s="6" t="s">
        <v>148</v>
      </c>
      <c r="D62" s="6">
        <v>6.06264915188E11</v>
      </c>
      <c r="E62" s="6">
        <v>1503.0</v>
      </c>
      <c r="F62" s="6" t="s">
        <v>149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5"/>
      <c r="B63" s="6" t="s">
        <v>150</v>
      </c>
      <c r="C63" s="6" t="s">
        <v>151</v>
      </c>
      <c r="D63" s="6">
        <v>1.51712172449E11</v>
      </c>
      <c r="E63" s="6">
        <v>4806.0</v>
      </c>
      <c r="F63" s="6" t="s">
        <v>152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4"/>
      <c r="B64" s="6" t="s">
        <v>153</v>
      </c>
      <c r="C64" s="6" t="s">
        <v>154</v>
      </c>
      <c r="D64" s="6">
        <v>6.06253424385E11</v>
      </c>
      <c r="E64" s="6">
        <v>3360.0</v>
      </c>
      <c r="F64" s="6" t="s">
        <v>155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6" t="s">
        <v>156</v>
      </c>
      <c r="C65" s="6" t="s">
        <v>157</v>
      </c>
      <c r="D65" s="6">
        <v>3.98263816785E11</v>
      </c>
      <c r="E65" s="25">
        <v>702.0</v>
      </c>
      <c r="F65" s="6" t="s">
        <v>158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6" t="s">
        <v>159</v>
      </c>
      <c r="C66" s="6" t="s">
        <v>160</v>
      </c>
      <c r="D66" s="6">
        <v>1.09302909901E11</v>
      </c>
      <c r="E66" s="25">
        <v>1180.0</v>
      </c>
      <c r="F66" s="6" t="s">
        <v>161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6" t="s">
        <v>162</v>
      </c>
      <c r="C67" s="6" t="s">
        <v>163</v>
      </c>
      <c r="D67" s="6">
        <v>6.0622664383E11</v>
      </c>
      <c r="E67" s="25">
        <v>2360.0</v>
      </c>
      <c r="F67" s="6" t="s">
        <v>164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6" t="s">
        <v>165</v>
      </c>
      <c r="C68" s="6">
        <v>9.844760209E9</v>
      </c>
      <c r="D68" s="6">
        <v>6.0622729658E11</v>
      </c>
      <c r="E68" s="25">
        <v>1504.0</v>
      </c>
      <c r="F68" s="6" t="s">
        <v>166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17" t="s">
        <v>167</v>
      </c>
      <c r="C69" s="6" t="s">
        <v>168</v>
      </c>
      <c r="D69" s="6">
        <v>6.06253436392E11</v>
      </c>
      <c r="E69" s="25">
        <v>1680.0</v>
      </c>
      <c r="F69" s="6" t="s">
        <v>169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>
        <v>46115.0</v>
      </c>
      <c r="B70" s="17" t="s">
        <v>170</v>
      </c>
      <c r="C70" s="6" t="s">
        <v>171</v>
      </c>
      <c r="D70" s="6">
        <v>1.19481021154E11</v>
      </c>
      <c r="E70" s="6">
        <v>1504.0</v>
      </c>
      <c r="F70" s="6" t="s">
        <v>80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6"/>
      <c r="B71" s="17" t="s">
        <v>172</v>
      </c>
      <c r="C71" s="6" t="s">
        <v>173</v>
      </c>
      <c r="D71" s="6">
        <v>1.19488055204E11</v>
      </c>
      <c r="E71" s="6">
        <v>2004.0</v>
      </c>
      <c r="F71" s="6" t="s">
        <v>174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6" t="s">
        <v>175</v>
      </c>
      <c r="C72" s="6" t="s">
        <v>176</v>
      </c>
      <c r="D72" s="6"/>
      <c r="E72" s="6">
        <v>3500.0</v>
      </c>
      <c r="F72" s="6" t="s">
        <v>177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"/>
      <c r="B73" s="6" t="s">
        <v>178</v>
      </c>
      <c r="C73" s="6" t="s">
        <v>179</v>
      </c>
      <c r="D73" s="27" t="s">
        <v>180</v>
      </c>
      <c r="E73" s="6">
        <v>2360.0</v>
      </c>
      <c r="F73" s="6" t="s">
        <v>164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17" t="s">
        <v>181</v>
      </c>
      <c r="C74" s="6" t="s">
        <v>182</v>
      </c>
      <c r="D74" s="6">
        <v>6.06379454908E11</v>
      </c>
      <c r="E74" s="6">
        <v>1503.0</v>
      </c>
      <c r="F74" s="6" t="s">
        <v>183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>
        <v>46145.0</v>
      </c>
      <c r="B75" s="17" t="s">
        <v>184</v>
      </c>
      <c r="C75" s="6" t="s">
        <v>185</v>
      </c>
      <c r="D75" s="6">
        <v>6.4307897615E11</v>
      </c>
      <c r="E75" s="6">
        <v>702.0</v>
      </c>
      <c r="F75" s="17" t="s">
        <v>186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6" t="s">
        <v>187</v>
      </c>
      <c r="C76" s="6" t="s">
        <v>188</v>
      </c>
      <c r="D76" s="6">
        <v>6.06451784831E11</v>
      </c>
      <c r="E76" s="6">
        <v>3360.0</v>
      </c>
      <c r="F76" s="6" t="s">
        <v>189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/>
      <c r="B77" s="17" t="s">
        <v>190</v>
      </c>
      <c r="C77" s="17" t="s">
        <v>191</v>
      </c>
      <c r="D77" s="6">
        <v>1.19537995299E11</v>
      </c>
      <c r="E77" s="6">
        <v>3150.0</v>
      </c>
      <c r="F77" s="6" t="s">
        <v>192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17" t="s">
        <v>193</v>
      </c>
      <c r="C78" s="6" t="s">
        <v>194</v>
      </c>
      <c r="D78" s="6" t="s">
        <v>195</v>
      </c>
      <c r="E78" s="6">
        <v>3360.0</v>
      </c>
      <c r="F78" s="6" t="s">
        <v>196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2"/>
      <c r="B79" s="6" t="s">
        <v>197</v>
      </c>
      <c r="C79" s="6">
        <v>9.626315495E9</v>
      </c>
      <c r="D79" s="6">
        <v>6.06455055732E11</v>
      </c>
      <c r="E79" s="25">
        <v>1503.0</v>
      </c>
      <c r="F79" s="6" t="s">
        <v>198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6" t="s">
        <v>199</v>
      </c>
      <c r="C80" s="6" t="s">
        <v>200</v>
      </c>
      <c r="D80" s="6" t="s">
        <v>201</v>
      </c>
      <c r="E80" s="6">
        <v>2360.0</v>
      </c>
      <c r="F80" s="6" t="s">
        <v>202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1" t="s">
        <v>203</v>
      </c>
      <c r="C81" s="6" t="s">
        <v>204</v>
      </c>
      <c r="D81" s="6">
        <v>6.06441420535E11</v>
      </c>
      <c r="E81" s="6">
        <v>4806.0</v>
      </c>
      <c r="F81" s="6" t="s">
        <v>205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/>
      <c r="B82" s="27" t="s">
        <v>206</v>
      </c>
      <c r="C82" s="6">
        <v>9.994067359E9</v>
      </c>
      <c r="D82" s="6">
        <v>1.19533815886E11</v>
      </c>
      <c r="E82" s="6">
        <v>1180.0</v>
      </c>
      <c r="F82" s="6" t="s">
        <v>207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/>
      <c r="B83" s="6" t="s">
        <v>208</v>
      </c>
      <c r="C83" s="6" t="s">
        <v>209</v>
      </c>
      <c r="D83" s="6">
        <v>1.0931940824E11</v>
      </c>
      <c r="E83" s="6">
        <v>350.0</v>
      </c>
      <c r="F83" s="6" t="s">
        <v>210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17" t="s">
        <v>211</v>
      </c>
      <c r="C84" s="6" t="s">
        <v>212</v>
      </c>
      <c r="D84" s="6">
        <v>1.09315177478E11</v>
      </c>
      <c r="E84" s="6">
        <v>702.0</v>
      </c>
      <c r="F84" s="6" t="s">
        <v>213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8"/>
      <c r="B85" s="6" t="s">
        <v>214</v>
      </c>
      <c r="C85" s="6" t="s">
        <v>215</v>
      </c>
      <c r="D85" s="6">
        <v>5.1870340946E11</v>
      </c>
      <c r="E85" s="6">
        <v>250.0</v>
      </c>
      <c r="F85" s="6" t="s">
        <v>216</v>
      </c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4">
        <v>46176.0</v>
      </c>
      <c r="B86" s="17" t="s">
        <v>217</v>
      </c>
      <c r="C86" s="17" t="s">
        <v>218</v>
      </c>
      <c r="D86" s="17"/>
      <c r="E86" s="6">
        <v>1504.0</v>
      </c>
      <c r="F86" s="17" t="s">
        <v>219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"/>
      <c r="B87" s="17" t="s">
        <v>220</v>
      </c>
      <c r="C87" s="6">
        <v>9.789504161E9</v>
      </c>
      <c r="D87" s="6">
        <v>6.06568289517E11</v>
      </c>
      <c r="E87" s="6">
        <v>3008.0</v>
      </c>
      <c r="F87" s="6" t="s">
        <v>221</v>
      </c>
      <c r="G87" s="1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/>
      <c r="B88" s="6" t="s">
        <v>222</v>
      </c>
      <c r="C88" s="6" t="s">
        <v>223</v>
      </c>
      <c r="D88" s="6">
        <v>6.43183063859E11</v>
      </c>
      <c r="E88" s="6">
        <v>2360.0</v>
      </c>
      <c r="F88" s="6" t="s">
        <v>164</v>
      </c>
      <c r="G88" s="1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9"/>
      <c r="B89" s="6" t="s">
        <v>224</v>
      </c>
      <c r="C89" s="6" t="s">
        <v>225</v>
      </c>
      <c r="D89" s="6">
        <v>3.98427655213E11</v>
      </c>
      <c r="E89" s="6">
        <v>4720.0</v>
      </c>
      <c r="F89" s="6" t="s">
        <v>226</v>
      </c>
      <c r="G89" s="1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/>
      <c r="B90" s="6" t="s">
        <v>227</v>
      </c>
      <c r="C90" s="6">
        <v>6.1470403929E10</v>
      </c>
      <c r="D90" s="6">
        <v>3.98427916964E11</v>
      </c>
      <c r="E90" s="6">
        <v>1503.0</v>
      </c>
      <c r="F90" s="6" t="s">
        <v>228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2"/>
      <c r="B91" s="6" t="s">
        <v>229</v>
      </c>
      <c r="C91" s="6" t="s">
        <v>230</v>
      </c>
      <c r="D91" s="6">
        <v>6.43132161542E11</v>
      </c>
      <c r="E91" s="6">
        <v>1180.0</v>
      </c>
      <c r="F91" s="6" t="s">
        <v>231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17" t="s">
        <v>232</v>
      </c>
      <c r="C92" s="6" t="s">
        <v>233</v>
      </c>
      <c r="D92" s="6">
        <v>1.62379742508E11</v>
      </c>
      <c r="E92" s="6">
        <v>1503.0</v>
      </c>
      <c r="F92" s="6" t="s">
        <v>234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6" t="s">
        <v>235</v>
      </c>
      <c r="C93" s="6">
        <v>8.110065599E9</v>
      </c>
      <c r="D93" s="6">
        <v>6.06571860446E11</v>
      </c>
      <c r="E93" s="6">
        <v>1503.0</v>
      </c>
      <c r="F93" s="6" t="s">
        <v>236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9"/>
      <c r="B94" s="6" t="s">
        <v>237</v>
      </c>
      <c r="C94" s="6" t="s">
        <v>238</v>
      </c>
      <c r="D94" s="6">
        <v>3.7420415131E10</v>
      </c>
      <c r="E94" s="6">
        <v>1503.0</v>
      </c>
      <c r="F94" s="6" t="s">
        <v>239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2">
        <v>46206.0</v>
      </c>
      <c r="B95" s="6" t="s">
        <v>240</v>
      </c>
      <c r="C95" s="5">
        <v>8.524845705E9</v>
      </c>
      <c r="D95" s="6">
        <v>1.19625757908E11</v>
      </c>
      <c r="E95" s="6">
        <v>1504.0</v>
      </c>
      <c r="F95" s="6" t="s">
        <v>241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0"/>
      <c r="B96" s="6" t="s">
        <v>242</v>
      </c>
      <c r="C96" s="6" t="s">
        <v>243</v>
      </c>
      <c r="D96" s="6" t="s">
        <v>244</v>
      </c>
      <c r="E96" s="6">
        <v>3150.0</v>
      </c>
      <c r="F96" s="6" t="s">
        <v>245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/>
      <c r="B97" s="6" t="s">
        <v>246</v>
      </c>
      <c r="C97" s="6">
        <v>9.916660409E9</v>
      </c>
      <c r="D97" s="6">
        <v>6.06684530566E11</v>
      </c>
      <c r="E97" s="6">
        <v>1504.0</v>
      </c>
      <c r="F97" s="6" t="s">
        <v>247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1"/>
      <c r="B98" s="6" t="s">
        <v>248</v>
      </c>
      <c r="C98" s="6">
        <v>8.073026347E9</v>
      </c>
      <c r="D98" s="6">
        <v>1.1964077197E11</v>
      </c>
      <c r="E98" s="6">
        <v>2607.0</v>
      </c>
      <c r="F98" s="17" t="s">
        <v>249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9"/>
      <c r="B99" s="17" t="s">
        <v>250</v>
      </c>
      <c r="C99" s="17" t="s">
        <v>251</v>
      </c>
      <c r="D99" s="17">
        <v>1.19646399899E11</v>
      </c>
      <c r="E99" s="6">
        <v>6300.0</v>
      </c>
      <c r="F99" s="6" t="s">
        <v>252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9"/>
      <c r="B100" s="17" t="s">
        <v>253</v>
      </c>
      <c r="C100" s="6" t="s">
        <v>254</v>
      </c>
      <c r="D100" s="6">
        <v>6.06699991309E11</v>
      </c>
      <c r="E100" s="6">
        <v>1503.0</v>
      </c>
      <c r="F100" s="6" t="s">
        <v>255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9"/>
      <c r="B101" s="32" t="s">
        <v>256</v>
      </c>
      <c r="C101" s="6" t="s">
        <v>257</v>
      </c>
      <c r="D101" s="6">
        <v>6.06668836549E11</v>
      </c>
      <c r="E101" s="6">
        <v>1504.0</v>
      </c>
      <c r="F101" s="6" t="s">
        <v>258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3"/>
      <c r="B102" s="5" t="s">
        <v>259</v>
      </c>
      <c r="C102" s="32" t="s">
        <v>260</v>
      </c>
      <c r="D102" s="34">
        <v>6.06624657814E11</v>
      </c>
      <c r="E102" s="6">
        <v>2004.0</v>
      </c>
      <c r="F102" s="32" t="s">
        <v>261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5"/>
      <c r="B103" s="17" t="s">
        <v>262</v>
      </c>
      <c r="C103" s="32">
        <v>7.030977861E9</v>
      </c>
      <c r="D103" s="32">
        <v>6.06671959881E11</v>
      </c>
      <c r="E103" s="6">
        <v>1504.0</v>
      </c>
      <c r="F103" s="32" t="s">
        <v>263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6"/>
      <c r="B104" s="17" t="s">
        <v>264</v>
      </c>
      <c r="C104" s="32">
        <v>9.176082645E9</v>
      </c>
      <c r="D104" s="32">
        <v>6.06676432475E11</v>
      </c>
      <c r="E104" s="6">
        <v>1504.0</v>
      </c>
      <c r="F104" s="32" t="s">
        <v>265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/>
      <c r="B105" s="32" t="s">
        <v>266</v>
      </c>
      <c r="C105" s="32" t="s">
        <v>267</v>
      </c>
      <c r="D105" s="32">
        <v>6.06637464219E11</v>
      </c>
      <c r="E105" s="6">
        <v>2607.0</v>
      </c>
      <c r="F105" s="34" t="s">
        <v>268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5">
        <v>46237.0</v>
      </c>
      <c r="B106" s="32" t="s">
        <v>269</v>
      </c>
      <c r="C106" s="32">
        <v>9.791998661E9</v>
      </c>
      <c r="D106" s="37">
        <v>1.1968431609E11</v>
      </c>
      <c r="E106" s="32">
        <v>1180.0</v>
      </c>
      <c r="F106" s="38" t="s">
        <v>112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3"/>
      <c r="B107" s="32" t="s">
        <v>270</v>
      </c>
      <c r="C107" s="32" t="s">
        <v>271</v>
      </c>
      <c r="D107" s="32">
        <v>6.06791608997E11</v>
      </c>
      <c r="E107" s="32">
        <v>1180.0</v>
      </c>
      <c r="F107" s="17" t="s">
        <v>69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3"/>
      <c r="B108" s="6" t="s">
        <v>272</v>
      </c>
      <c r="C108" s="6" t="s">
        <v>273</v>
      </c>
      <c r="D108" s="6">
        <v>6.06646458668E11</v>
      </c>
      <c r="E108" s="32">
        <v>3360.0</v>
      </c>
      <c r="F108" s="17" t="s">
        <v>274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3"/>
      <c r="B109" s="32" t="s">
        <v>275</v>
      </c>
      <c r="C109" s="32" t="s">
        <v>276</v>
      </c>
      <c r="D109" s="32">
        <v>6.06728289018E11</v>
      </c>
      <c r="E109" s="32">
        <v>1503.0</v>
      </c>
      <c r="F109" s="32" t="s">
        <v>277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3"/>
      <c r="B110" s="17" t="s">
        <v>278</v>
      </c>
      <c r="C110" s="17" t="s">
        <v>279</v>
      </c>
      <c r="D110" s="17">
        <v>6.06792961048E11</v>
      </c>
      <c r="E110" s="32">
        <v>1599.0</v>
      </c>
      <c r="F110" s="17" t="s">
        <v>280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9"/>
      <c r="B111" s="40" t="s">
        <v>281</v>
      </c>
      <c r="C111" s="40" t="s">
        <v>282</v>
      </c>
      <c r="D111" s="40">
        <v>3.13904189266E11</v>
      </c>
      <c r="E111" s="40">
        <v>250.0</v>
      </c>
      <c r="F111" s="40" t="s">
        <v>283</v>
      </c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2"/>
      <c r="B112" s="32" t="s">
        <v>284</v>
      </c>
      <c r="C112" s="32" t="s">
        <v>285</v>
      </c>
      <c r="D112" s="32">
        <v>6.4332391827E11</v>
      </c>
      <c r="E112" s="32">
        <v>3150.0</v>
      </c>
      <c r="F112" s="6" t="s">
        <v>286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6" t="s">
        <v>287</v>
      </c>
      <c r="C113" s="6" t="s">
        <v>288</v>
      </c>
      <c r="D113" s="6">
        <v>1.19694975713E11</v>
      </c>
      <c r="E113" s="32">
        <v>2004.0</v>
      </c>
      <c r="F113" s="6" t="s">
        <v>289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6"/>
      <c r="B114" s="32" t="s">
        <v>290</v>
      </c>
      <c r="C114" s="32">
        <v>9.19884777035E11</v>
      </c>
      <c r="D114" s="32">
        <v>6.06740811105E11</v>
      </c>
      <c r="E114" s="32">
        <v>4806.0</v>
      </c>
      <c r="F114" s="32" t="s">
        <v>291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3"/>
      <c r="B115" s="6" t="s">
        <v>292</v>
      </c>
      <c r="C115" s="32">
        <v>9.19443019582E11</v>
      </c>
      <c r="D115" s="32" t="s">
        <v>293</v>
      </c>
      <c r="E115" s="32">
        <v>1599.0</v>
      </c>
      <c r="F115" s="32" t="s">
        <v>280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4"/>
      <c r="B116" s="32" t="s">
        <v>294</v>
      </c>
      <c r="C116" s="32" t="s">
        <v>295</v>
      </c>
      <c r="D116" s="32">
        <v>8.36865470741E11</v>
      </c>
      <c r="E116" s="32">
        <v>2360.0</v>
      </c>
      <c r="F116" s="32" t="s">
        <v>296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2">
        <v>46268.0</v>
      </c>
      <c r="B117" s="32" t="s">
        <v>297</v>
      </c>
      <c r="C117" s="32" t="s">
        <v>298</v>
      </c>
      <c r="D117" s="32">
        <v>1.19732250743E11</v>
      </c>
      <c r="E117" s="32">
        <v>1503.0</v>
      </c>
      <c r="F117" s="32" t="s">
        <v>299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3"/>
      <c r="B118" s="17" t="s">
        <v>300</v>
      </c>
      <c r="C118" s="32" t="s">
        <v>301</v>
      </c>
      <c r="D118" s="32"/>
      <c r="E118" s="32">
        <v>4720.0</v>
      </c>
      <c r="F118" s="32" t="s">
        <v>302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7.75" customHeight="1">
      <c r="A119" s="43"/>
      <c r="B119" s="17" t="s">
        <v>303</v>
      </c>
      <c r="C119" s="32">
        <v>9.16382019776E11</v>
      </c>
      <c r="D119" s="32">
        <v>8.67096743461E11</v>
      </c>
      <c r="E119" s="32">
        <v>1000.0</v>
      </c>
      <c r="F119" s="32" t="s">
        <v>304</v>
      </c>
      <c r="G119" s="3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3"/>
      <c r="B120" s="17" t="s">
        <v>305</v>
      </c>
      <c r="C120" s="32">
        <v>9.1812462284E11</v>
      </c>
      <c r="D120" s="32">
        <v>6.0684167311E11</v>
      </c>
      <c r="E120" s="32">
        <v>2004.0</v>
      </c>
      <c r="F120" s="32" t="s">
        <v>306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3"/>
      <c r="B121" s="17" t="s">
        <v>307</v>
      </c>
      <c r="C121" s="34">
        <v>8.891975362E9</v>
      </c>
      <c r="D121" s="34">
        <v>1.19733847656E11</v>
      </c>
      <c r="E121" s="32">
        <v>1503.0</v>
      </c>
      <c r="F121" s="32" t="s">
        <v>308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3"/>
      <c r="B122" s="17" t="s">
        <v>309</v>
      </c>
      <c r="C122" s="32" t="s">
        <v>310</v>
      </c>
      <c r="D122" s="32">
        <v>6.06847538888E11</v>
      </c>
      <c r="E122" s="32">
        <v>1503.0</v>
      </c>
      <c r="F122" s="17" t="s">
        <v>219</v>
      </c>
      <c r="G122" s="3"/>
      <c r="H122" s="4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3"/>
      <c r="B123" s="17" t="s">
        <v>311</v>
      </c>
      <c r="C123" s="32" t="s">
        <v>312</v>
      </c>
      <c r="D123" s="32">
        <v>6.43422469696E11</v>
      </c>
      <c r="E123" s="32">
        <v>1180.0</v>
      </c>
      <c r="F123" s="17" t="s">
        <v>35</v>
      </c>
      <c r="G123" s="3"/>
      <c r="H123" s="4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2"/>
      <c r="B124" s="17" t="s">
        <v>313</v>
      </c>
      <c r="C124" s="32">
        <v>9.943534995E9</v>
      </c>
      <c r="D124" s="32">
        <v>6.09799009379E11</v>
      </c>
      <c r="E124" s="32">
        <v>7218.0</v>
      </c>
      <c r="F124" s="6" t="s">
        <v>314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9"/>
      <c r="B125" s="17" t="s">
        <v>315</v>
      </c>
      <c r="C125" s="6">
        <v>8.608650999E9</v>
      </c>
      <c r="D125" s="6">
        <v>1.19639249942E11</v>
      </c>
      <c r="E125" s="32">
        <v>1504.0</v>
      </c>
      <c r="F125" s="17" t="s">
        <v>316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9"/>
      <c r="B126" s="17" t="s">
        <v>317</v>
      </c>
      <c r="C126" s="6" t="s">
        <v>318</v>
      </c>
      <c r="D126" s="6">
        <v>6.06852905428E11</v>
      </c>
      <c r="E126" s="32">
        <v>1503.0</v>
      </c>
      <c r="F126" s="17" t="s">
        <v>319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4"/>
      <c r="B127" s="17" t="s">
        <v>320</v>
      </c>
      <c r="C127" s="6">
        <v>8.825459474E9</v>
      </c>
      <c r="D127" s="6">
        <v>1.10126808587E11</v>
      </c>
      <c r="E127" s="32">
        <v>6300.0</v>
      </c>
      <c r="F127" s="17" t="s">
        <v>321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5"/>
      <c r="B128" s="17" t="s">
        <v>322</v>
      </c>
      <c r="C128" s="6">
        <v>9.626315495E9</v>
      </c>
      <c r="D128" s="6">
        <v>6.06837107368E11</v>
      </c>
      <c r="E128" s="32">
        <v>2100.0</v>
      </c>
      <c r="F128" s="17" t="s">
        <v>323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 t="s">
        <v>324</v>
      </c>
      <c r="B129" s="17" t="s">
        <v>325</v>
      </c>
      <c r="C129" s="6">
        <v>9.94100334E9</v>
      </c>
      <c r="D129" s="6">
        <v>6.068077119E11</v>
      </c>
      <c r="E129" s="6">
        <v>2450.0</v>
      </c>
      <c r="F129" s="17" t="s">
        <v>326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4"/>
      <c r="B130" s="17" t="s">
        <v>327</v>
      </c>
      <c r="C130" s="6" t="s">
        <v>328</v>
      </c>
      <c r="D130" s="6">
        <v>6.06878319399E11</v>
      </c>
      <c r="E130" s="6">
        <v>3309.0</v>
      </c>
      <c r="F130" s="17" t="s">
        <v>329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17" t="s">
        <v>330</v>
      </c>
      <c r="C131" s="6" t="s">
        <v>331</v>
      </c>
      <c r="D131" s="6">
        <v>1.19765284419E11</v>
      </c>
      <c r="E131" s="6">
        <v>1180.0</v>
      </c>
      <c r="F131" s="17" t="s">
        <v>332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5"/>
      <c r="B132" s="17" t="s">
        <v>333</v>
      </c>
      <c r="C132" s="6">
        <v>9.363643424E9</v>
      </c>
      <c r="D132" s="6">
        <v>6.06894629092E11</v>
      </c>
      <c r="E132" s="6">
        <v>1503.0</v>
      </c>
      <c r="F132" s="17" t="s">
        <v>334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5">
        <v>46298.0</v>
      </c>
      <c r="B133" s="17" t="s">
        <v>335</v>
      </c>
      <c r="C133" s="6" t="s">
        <v>336</v>
      </c>
      <c r="D133" s="6">
        <v>1.09351038115E11</v>
      </c>
      <c r="E133" s="23" t="s">
        <v>337</v>
      </c>
      <c r="F133" s="23" t="s">
        <v>338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9"/>
      <c r="B134" s="17" t="s">
        <v>339</v>
      </c>
      <c r="C134" s="6">
        <v>9.943815665E9</v>
      </c>
      <c r="D134" s="6">
        <v>1.19785596373E11</v>
      </c>
      <c r="E134" s="6">
        <v>2004.0</v>
      </c>
      <c r="F134" s="6" t="s">
        <v>340</v>
      </c>
      <c r="G134" s="3"/>
      <c r="H134" s="4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9"/>
      <c r="B135" s="17" t="s">
        <v>341</v>
      </c>
      <c r="C135" s="17" t="s">
        <v>342</v>
      </c>
      <c r="D135" s="6">
        <v>6.06913330549E11</v>
      </c>
      <c r="E135" s="6">
        <v>2360.0</v>
      </c>
      <c r="F135" s="6" t="s">
        <v>343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9"/>
      <c r="B136" s="17" t="s">
        <v>344</v>
      </c>
      <c r="C136" s="6">
        <v>9.791116578E9</v>
      </c>
      <c r="D136" s="6">
        <v>6.06936958576E11</v>
      </c>
      <c r="E136" s="6">
        <v>1503.0</v>
      </c>
      <c r="F136" s="6" t="s">
        <v>345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9"/>
      <c r="B137" s="17" t="s">
        <v>346</v>
      </c>
      <c r="C137" s="6" t="s">
        <v>347</v>
      </c>
      <c r="D137" s="6">
        <v>6.06908763037E11</v>
      </c>
      <c r="E137" s="6">
        <v>3360.0</v>
      </c>
      <c r="F137" s="6" t="s">
        <v>196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5"/>
      <c r="B138" s="17" t="s">
        <v>348</v>
      </c>
      <c r="C138" s="6">
        <v>9.48626109E9</v>
      </c>
      <c r="D138" s="6">
        <v>6.06913374429E11</v>
      </c>
      <c r="E138" s="6">
        <v>2004.0</v>
      </c>
      <c r="F138" s="6" t="s">
        <v>349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9"/>
      <c r="B139" s="17" t="s">
        <v>350</v>
      </c>
      <c r="C139" s="6" t="s">
        <v>351</v>
      </c>
      <c r="D139" s="6" t="s">
        <v>352</v>
      </c>
      <c r="E139" s="6">
        <v>2360.0</v>
      </c>
      <c r="F139" s="6" t="s">
        <v>164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4"/>
      <c r="B140" s="17" t="s">
        <v>353</v>
      </c>
      <c r="C140" s="6" t="s">
        <v>354</v>
      </c>
      <c r="D140" s="6">
        <v>6.06914482735E11</v>
      </c>
      <c r="E140" s="6">
        <v>2004.0</v>
      </c>
      <c r="F140" s="6" t="s">
        <v>355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5"/>
      <c r="B141" s="17" t="s">
        <v>356</v>
      </c>
      <c r="C141" s="6">
        <v>9.790249544E9</v>
      </c>
      <c r="D141" s="6">
        <v>6.06934770078E11</v>
      </c>
      <c r="E141" s="6">
        <v>1050.0</v>
      </c>
      <c r="F141" s="6" t="s">
        <v>357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5"/>
      <c r="B142" s="17" t="s">
        <v>358</v>
      </c>
      <c r="C142" s="6">
        <v>9.626315495E9</v>
      </c>
      <c r="D142" s="6">
        <v>6.06953089476E11</v>
      </c>
      <c r="E142" s="6">
        <v>4200.0</v>
      </c>
      <c r="F142" s="6" t="s">
        <v>359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46329.0</v>
      </c>
      <c r="B143" s="6" t="s">
        <v>360</v>
      </c>
      <c r="C143" s="6">
        <v>8.59025757E9</v>
      </c>
      <c r="D143" s="6">
        <v>6.07076209263E11</v>
      </c>
      <c r="E143" s="6">
        <v>1503.0</v>
      </c>
      <c r="F143" s="6" t="s">
        <v>361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6" t="s">
        <v>362</v>
      </c>
      <c r="C144" s="6">
        <v>7.35853872E9</v>
      </c>
      <c r="D144" s="6">
        <v>6.43680280084E11</v>
      </c>
      <c r="E144" s="6">
        <v>1503.0</v>
      </c>
      <c r="F144" s="6" t="s">
        <v>363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9"/>
      <c r="B145" s="6" t="s">
        <v>364</v>
      </c>
      <c r="C145" s="6" t="s">
        <v>365</v>
      </c>
      <c r="D145" s="6">
        <v>6.07083652085E11</v>
      </c>
      <c r="E145" s="6">
        <v>3204.0</v>
      </c>
      <c r="F145" s="6" t="s">
        <v>366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6" t="s">
        <v>367</v>
      </c>
      <c r="C146" s="6" t="s">
        <v>368</v>
      </c>
      <c r="D146" s="6"/>
      <c r="E146" s="6">
        <v>1180.0</v>
      </c>
      <c r="F146" s="6" t="s">
        <v>369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9"/>
      <c r="B147" s="17" t="s">
        <v>370</v>
      </c>
      <c r="C147" s="27">
        <v>9.538347897E9</v>
      </c>
      <c r="D147" s="6">
        <v>1.09360437649E11</v>
      </c>
      <c r="E147" s="6">
        <v>2360.0</v>
      </c>
      <c r="F147" s="6" t="s">
        <v>371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9"/>
      <c r="B148" s="6" t="s">
        <v>372</v>
      </c>
      <c r="C148" s="27">
        <v>9.71558961702E11</v>
      </c>
      <c r="D148" s="6">
        <v>6.4369155481E11</v>
      </c>
      <c r="E148" s="6">
        <v>2360.0</v>
      </c>
      <c r="F148" s="6" t="s">
        <v>373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9"/>
      <c r="B149" s="6" t="s">
        <v>374</v>
      </c>
      <c r="C149" s="27">
        <v>9.080534133E9</v>
      </c>
      <c r="D149" s="6">
        <v>1.9493221466E10</v>
      </c>
      <c r="E149" s="6">
        <v>2360.0</v>
      </c>
      <c r="F149" s="6" t="s">
        <v>375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9"/>
      <c r="B150" s="17" t="s">
        <v>376</v>
      </c>
      <c r="C150" s="27" t="s">
        <v>377</v>
      </c>
      <c r="D150" s="6">
        <v>6.07031210607E11</v>
      </c>
      <c r="E150" s="6">
        <v>3507.0</v>
      </c>
      <c r="F150" s="6" t="s">
        <v>378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9"/>
      <c r="B151" s="17" t="s">
        <v>379</v>
      </c>
      <c r="C151" s="27" t="s">
        <v>380</v>
      </c>
      <c r="D151" s="6">
        <v>6.07043425791E11</v>
      </c>
      <c r="E151" s="6">
        <v>6300.0</v>
      </c>
      <c r="F151" s="5" t="s">
        <v>381</v>
      </c>
      <c r="G151" s="3"/>
      <c r="H151" s="4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9"/>
      <c r="B152" s="6" t="s">
        <v>382</v>
      </c>
      <c r="C152" s="27">
        <v>8.369559151E9</v>
      </c>
      <c r="D152" s="6">
        <v>6.07025042058E11</v>
      </c>
      <c r="E152" s="6">
        <v>2607.0</v>
      </c>
      <c r="F152" s="6" t="s">
        <v>383</v>
      </c>
      <c r="G152" s="3"/>
      <c r="H152" s="4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46359.0</v>
      </c>
      <c r="B153" s="6" t="s">
        <v>384</v>
      </c>
      <c r="C153" s="27">
        <v>9.71505447641E11</v>
      </c>
      <c r="D153" s="6"/>
      <c r="E153" s="6"/>
      <c r="F153" s="6" t="s">
        <v>369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6" t="s">
        <v>385</v>
      </c>
      <c r="C154" s="27" t="s">
        <v>386</v>
      </c>
      <c r="D154" s="6">
        <v>1.19854899224E11</v>
      </c>
      <c r="E154" s="6">
        <v>4720.0</v>
      </c>
      <c r="F154" s="6" t="s">
        <v>302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9"/>
      <c r="B155" s="6" t="s">
        <v>387</v>
      </c>
      <c r="C155" s="6" t="s">
        <v>388</v>
      </c>
      <c r="D155" s="6">
        <v>6.07172757143E11</v>
      </c>
      <c r="E155" s="6">
        <v>1180.0</v>
      </c>
      <c r="F155" s="6" t="s">
        <v>389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6" t="s">
        <v>390</v>
      </c>
      <c r="C156" s="6">
        <v>9.789504161E9</v>
      </c>
      <c r="D156" s="6">
        <v>6.07103270651E11</v>
      </c>
      <c r="E156" s="6">
        <v>4806.0</v>
      </c>
      <c r="F156" s="6" t="s">
        <v>391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9"/>
      <c r="B157" s="46" t="s">
        <v>392</v>
      </c>
      <c r="C157" s="6">
        <v>9.743082009E9</v>
      </c>
      <c r="D157" s="6">
        <v>4.21223020993E11</v>
      </c>
      <c r="E157" s="6">
        <v>699.0</v>
      </c>
      <c r="F157" s="6" t="s">
        <v>393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6" t="s">
        <v>394</v>
      </c>
      <c r="C158" s="6">
        <v>9.150313195E9</v>
      </c>
      <c r="D158" s="6">
        <v>6.07138318368E11</v>
      </c>
      <c r="E158" s="6">
        <v>4806.0</v>
      </c>
      <c r="F158" s="6" t="s">
        <v>395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17" t="s">
        <v>396</v>
      </c>
      <c r="C159" s="6">
        <v>9.003099845E9</v>
      </c>
      <c r="D159" s="6">
        <v>6.07188576853E11</v>
      </c>
      <c r="E159" s="6">
        <v>1504.0</v>
      </c>
      <c r="F159" s="6" t="s">
        <v>397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/>
      <c r="B160" s="6" t="s">
        <v>398</v>
      </c>
      <c r="C160" s="17" t="s">
        <v>399</v>
      </c>
      <c r="D160" s="6">
        <v>6.43606388229E11</v>
      </c>
      <c r="E160" s="6">
        <v>1504.0</v>
      </c>
      <c r="F160" s="6" t="s">
        <v>400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9"/>
      <c r="B161" s="6" t="s">
        <v>401</v>
      </c>
      <c r="C161" s="6" t="s">
        <v>402</v>
      </c>
      <c r="D161" s="6">
        <v>1.1991237345E11</v>
      </c>
      <c r="E161" s="6">
        <v>699.0</v>
      </c>
      <c r="F161" s="6" t="s">
        <v>393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9"/>
      <c r="B162" s="6" t="s">
        <v>403</v>
      </c>
      <c r="C162" s="6" t="s">
        <v>404</v>
      </c>
      <c r="D162" s="6">
        <v>1.19912644176E11</v>
      </c>
      <c r="E162" s="6">
        <v>652.0</v>
      </c>
      <c r="F162" s="6" t="s">
        <v>405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9"/>
      <c r="B163" s="6" t="s">
        <v>406</v>
      </c>
      <c r="C163" s="6" t="s">
        <v>407</v>
      </c>
      <c r="D163" s="6">
        <v>6.0716796385E11</v>
      </c>
      <c r="E163" s="6">
        <v>699.0</v>
      </c>
      <c r="F163" s="6" t="s">
        <v>408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7">
        <v>46379.0</v>
      </c>
      <c r="B164" s="6" t="s">
        <v>409</v>
      </c>
      <c r="C164" s="6">
        <v>8.270169876E9</v>
      </c>
      <c r="D164" s="6">
        <v>5.35705987002E11</v>
      </c>
      <c r="E164" s="6">
        <v>1503.0</v>
      </c>
      <c r="F164" s="6" t="s">
        <v>410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 t="s">
        <v>411</v>
      </c>
      <c r="B165" s="6" t="s">
        <v>412</v>
      </c>
      <c r="C165" s="6">
        <v>9.653293238E9</v>
      </c>
      <c r="D165" s="6">
        <v>6.07167195512E11</v>
      </c>
      <c r="E165" s="6">
        <v>699.0</v>
      </c>
      <c r="F165" s="6" t="s">
        <v>413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9"/>
      <c r="B166" s="48" t="s">
        <v>414</v>
      </c>
      <c r="C166" s="48" t="s">
        <v>415</v>
      </c>
      <c r="D166" s="48">
        <v>6.43808373823E11</v>
      </c>
      <c r="E166" s="48">
        <v>21000.0</v>
      </c>
      <c r="F166" s="48" t="s">
        <v>416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9"/>
      <c r="B167" s="48" t="s">
        <v>417</v>
      </c>
      <c r="C167" s="48">
        <f>96897565005</f>
        <v>96897565005</v>
      </c>
      <c r="D167" s="48" t="s">
        <v>418</v>
      </c>
      <c r="E167" s="48">
        <v>25500.0</v>
      </c>
      <c r="F167" s="48" t="s">
        <v>419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B168" s="17" t="s">
        <v>420</v>
      </c>
      <c r="C168" s="6">
        <v>8.43847231E9</v>
      </c>
      <c r="D168" s="6">
        <v>6.07211985767E11</v>
      </c>
      <c r="E168" s="6">
        <v>1504.0</v>
      </c>
      <c r="F168" s="6" t="s">
        <v>80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6" t="s">
        <v>421</v>
      </c>
      <c r="C169" s="6" t="s">
        <v>422</v>
      </c>
      <c r="D169" s="6">
        <v>1.09375401037E11</v>
      </c>
      <c r="E169" s="6">
        <v>1180.0</v>
      </c>
      <c r="F169" s="6" t="s">
        <v>423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9"/>
      <c r="B170" s="48" t="s">
        <v>424</v>
      </c>
      <c r="C170" s="48">
        <v>9.566359305E9</v>
      </c>
      <c r="D170" s="48">
        <v>3.98857568411E11</v>
      </c>
      <c r="E170" s="48">
        <v>21000.0</v>
      </c>
      <c r="F170" s="48" t="s">
        <v>425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9"/>
      <c r="B171" s="6" t="s">
        <v>100</v>
      </c>
      <c r="C171" s="6" t="s">
        <v>426</v>
      </c>
      <c r="D171" s="6">
        <v>6.07270332693E11</v>
      </c>
      <c r="E171" s="6">
        <v>1503.0</v>
      </c>
      <c r="F171" s="6" t="s">
        <v>427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 t="s">
        <v>428</v>
      </c>
      <c r="B172" s="6" t="s">
        <v>429</v>
      </c>
      <c r="C172" s="6" t="s">
        <v>430</v>
      </c>
      <c r="D172" s="6">
        <v>6.07333286608E11</v>
      </c>
      <c r="E172" s="6">
        <v>652.0</v>
      </c>
      <c r="F172" s="6" t="s">
        <v>431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9"/>
      <c r="B173" s="50" t="s">
        <v>432</v>
      </c>
      <c r="C173" s="48" t="s">
        <v>433</v>
      </c>
      <c r="D173" s="48">
        <v>6.43965679464E11</v>
      </c>
      <c r="E173" s="48">
        <v>21000.0</v>
      </c>
      <c r="F173" s="48" t="s">
        <v>434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9"/>
      <c r="B174" s="48" t="s">
        <v>435</v>
      </c>
      <c r="C174" s="48" t="s">
        <v>285</v>
      </c>
      <c r="D174" s="48">
        <v>6.4396056083E11</v>
      </c>
      <c r="E174" s="48">
        <v>21000.0</v>
      </c>
      <c r="F174" s="48" t="s">
        <v>436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3"/>
      <c r="B175" s="48" t="s">
        <v>437</v>
      </c>
      <c r="C175" s="48" t="s">
        <v>47</v>
      </c>
      <c r="D175" s="48">
        <v>1.20000873978E11</v>
      </c>
      <c r="E175" s="48">
        <v>21000.0</v>
      </c>
      <c r="F175" s="48" t="s">
        <v>438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3"/>
      <c r="B176" s="6" t="s">
        <v>439</v>
      </c>
      <c r="C176" s="6" t="s">
        <v>440</v>
      </c>
      <c r="D176" s="6">
        <v>6.07354165676E11</v>
      </c>
      <c r="E176" s="6">
        <v>2360.0</v>
      </c>
      <c r="F176" s="6" t="s">
        <v>343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9"/>
      <c r="B177" s="6" t="s">
        <v>441</v>
      </c>
      <c r="C177" s="6" t="s">
        <v>442</v>
      </c>
      <c r="D177" s="6">
        <v>1.20026286048E11</v>
      </c>
      <c r="E177" s="6">
        <v>1180.0</v>
      </c>
      <c r="F177" s="6" t="s">
        <v>69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9"/>
      <c r="B178" s="48" t="s">
        <v>443</v>
      </c>
      <c r="C178" s="48" t="s">
        <v>444</v>
      </c>
      <c r="D178" s="48" t="s">
        <v>445</v>
      </c>
      <c r="E178" s="51">
        <v>26531.0</v>
      </c>
      <c r="F178" s="48" t="s">
        <v>446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 t="s">
        <v>447</v>
      </c>
      <c r="B179" s="6" t="s">
        <v>448</v>
      </c>
      <c r="C179" s="6">
        <v>9.176004603E9</v>
      </c>
      <c r="D179" s="6" t="s">
        <v>449</v>
      </c>
      <c r="E179" s="6">
        <v>2004.0</v>
      </c>
      <c r="F179" s="6" t="s">
        <v>450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9"/>
      <c r="B180" s="6" t="s">
        <v>451</v>
      </c>
      <c r="C180" s="6" t="s">
        <v>452</v>
      </c>
      <c r="D180" s="6">
        <v>6.07422128621E11</v>
      </c>
      <c r="E180" s="6">
        <v>1180.0</v>
      </c>
      <c r="F180" s="6" t="s">
        <v>207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/>
      <c r="B181" s="6" t="s">
        <v>453</v>
      </c>
      <c r="C181" s="6" t="s">
        <v>454</v>
      </c>
      <c r="D181" s="6">
        <v>6.07494387136E11</v>
      </c>
      <c r="E181" s="6">
        <v>7515.0</v>
      </c>
      <c r="F181" s="6" t="s">
        <v>455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9"/>
      <c r="B182" s="6" t="s">
        <v>456</v>
      </c>
      <c r="C182" s="6" t="s">
        <v>457</v>
      </c>
      <c r="D182" s="6">
        <v>6.07479390052E11</v>
      </c>
      <c r="E182" s="6">
        <v>2360.0</v>
      </c>
      <c r="F182" s="6" t="s">
        <v>326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 t="s">
        <v>458</v>
      </c>
      <c r="B183" s="6" t="s">
        <v>459</v>
      </c>
      <c r="C183" s="6">
        <v>9.1713332E9</v>
      </c>
      <c r="D183" s="6">
        <v>6.07484399658E11</v>
      </c>
      <c r="E183" s="6">
        <v>1050.0</v>
      </c>
      <c r="F183" s="6" t="s">
        <v>460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9"/>
      <c r="B184" s="6" t="s">
        <v>461</v>
      </c>
      <c r="C184" s="6">
        <v>7.358326974E9</v>
      </c>
      <c r="D184" s="6">
        <v>1.20096659859E11</v>
      </c>
      <c r="E184" s="6">
        <v>1503.0</v>
      </c>
      <c r="F184" s="6" t="s">
        <v>462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9"/>
      <c r="B185" s="6" t="s">
        <v>463</v>
      </c>
      <c r="C185" s="6" t="s">
        <v>464</v>
      </c>
      <c r="D185" s="6">
        <v>9.7057903104E10</v>
      </c>
      <c r="E185" s="6">
        <v>1180.0</v>
      </c>
      <c r="F185" s="6" t="s">
        <v>35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/>
      <c r="B186" s="17" t="s">
        <v>465</v>
      </c>
      <c r="C186" s="6">
        <v>9.786624242E9</v>
      </c>
      <c r="D186" s="6">
        <v>6.44179238106E11</v>
      </c>
      <c r="E186" s="6">
        <v>1680.0</v>
      </c>
      <c r="F186" s="6" t="s">
        <v>466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9"/>
      <c r="B187" s="6" t="s">
        <v>467</v>
      </c>
      <c r="C187" s="6" t="s">
        <v>468</v>
      </c>
      <c r="D187" s="6">
        <v>6.07513869289E11</v>
      </c>
      <c r="E187" s="6">
        <v>2360.0</v>
      </c>
      <c r="F187" s="6" t="s">
        <v>202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9"/>
      <c r="B188" s="6" t="s">
        <v>469</v>
      </c>
      <c r="C188" s="6" t="s">
        <v>470</v>
      </c>
      <c r="D188" s="6">
        <v>6.07533381949E11</v>
      </c>
      <c r="E188" s="6">
        <v>699.0</v>
      </c>
      <c r="F188" s="6" t="s">
        <v>471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9"/>
      <c r="B189" s="6" t="s">
        <v>472</v>
      </c>
      <c r="C189" s="6">
        <v>8.939664416E9</v>
      </c>
      <c r="D189" s="6">
        <v>6.4415132982E11</v>
      </c>
      <c r="E189" s="6">
        <v>3150.0</v>
      </c>
      <c r="F189" s="6" t="s">
        <v>127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9"/>
      <c r="B190" s="6" t="s">
        <v>473</v>
      </c>
      <c r="C190" s="6" t="s">
        <v>474</v>
      </c>
      <c r="D190" s="6">
        <v>1.20124163264E11</v>
      </c>
      <c r="E190" s="6">
        <v>1503.0</v>
      </c>
      <c r="F190" s="6" t="s">
        <v>219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9"/>
      <c r="B191" s="52" t="s">
        <v>475</v>
      </c>
      <c r="C191" s="17">
        <v>9.080174649E9</v>
      </c>
      <c r="D191" s="6" t="s">
        <v>476</v>
      </c>
      <c r="E191" s="6">
        <v>4720.0</v>
      </c>
      <c r="F191" s="6" t="s">
        <v>477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 t="s">
        <v>478</v>
      </c>
      <c r="B192" s="6" t="s">
        <v>479</v>
      </c>
      <c r="C192" s="6">
        <v>1.207299207E10</v>
      </c>
      <c r="D192" s="6">
        <v>9.93405277E8</v>
      </c>
      <c r="E192" s="6">
        <v>2360.0</v>
      </c>
      <c r="F192" s="6" t="s">
        <v>112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9"/>
      <c r="B193" s="6" t="s">
        <v>480</v>
      </c>
      <c r="C193" s="6" t="s">
        <v>481</v>
      </c>
      <c r="D193" s="6">
        <v>6.44220987268E11</v>
      </c>
      <c r="E193" s="6">
        <v>1180.0</v>
      </c>
      <c r="F193" s="6" t="s">
        <v>482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6" t="s">
        <v>483</v>
      </c>
      <c r="C194" s="6">
        <v>8.123424768E9</v>
      </c>
      <c r="D194" s="6">
        <v>6.76557681113E11</v>
      </c>
      <c r="E194" s="6">
        <v>699.0</v>
      </c>
      <c r="F194" s="6" t="s">
        <v>484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9"/>
      <c r="B195" s="17" t="s">
        <v>485</v>
      </c>
      <c r="C195" s="6" t="s">
        <v>486</v>
      </c>
      <c r="D195" s="6">
        <v>6.44243985156E11</v>
      </c>
      <c r="E195" s="6">
        <v>3150.0</v>
      </c>
      <c r="F195" s="6" t="s">
        <v>26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9"/>
      <c r="B196" s="6" t="s">
        <v>487</v>
      </c>
      <c r="C196" s="6" t="s">
        <v>488</v>
      </c>
      <c r="D196" s="6">
        <v>6.4421978001E11</v>
      </c>
      <c r="E196" s="6">
        <v>2360.0</v>
      </c>
      <c r="F196" s="6" t="s">
        <v>343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6" t="s">
        <v>489</v>
      </c>
      <c r="C197" s="6">
        <v>9.943815665E9</v>
      </c>
      <c r="D197" s="6">
        <v>1.20148608938E11</v>
      </c>
      <c r="E197" s="6">
        <v>3150.0</v>
      </c>
      <c r="F197" s="6" t="s">
        <v>117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9"/>
      <c r="B198" s="17" t="s">
        <v>490</v>
      </c>
      <c r="C198" s="6">
        <v>8.072919471E9</v>
      </c>
      <c r="D198" s="6">
        <v>6.44211488238E11</v>
      </c>
      <c r="E198" s="6">
        <v>699.0</v>
      </c>
      <c r="F198" s="6" t="s">
        <v>491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9"/>
      <c r="B199" s="6" t="s">
        <v>492</v>
      </c>
      <c r="C199" s="6" t="s">
        <v>493</v>
      </c>
      <c r="D199" s="6">
        <v>1.20150973237E11</v>
      </c>
      <c r="E199" s="6">
        <v>2004.0</v>
      </c>
      <c r="F199" s="6" t="s">
        <v>494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9"/>
      <c r="B200" s="17" t="s">
        <v>495</v>
      </c>
      <c r="C200" s="6" t="s">
        <v>496</v>
      </c>
      <c r="D200" s="6">
        <v>1.2015268376E11</v>
      </c>
      <c r="E200" s="6">
        <v>699.0</v>
      </c>
      <c r="F200" s="6" t="s">
        <v>497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9"/>
      <c r="B201" s="17" t="s">
        <v>498</v>
      </c>
      <c r="C201" s="6" t="s">
        <v>499</v>
      </c>
      <c r="D201" s="6">
        <v>6.07675294414E11</v>
      </c>
      <c r="E201" s="6">
        <v>702.0</v>
      </c>
      <c r="F201" s="6" t="s">
        <v>500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9"/>
      <c r="B202" s="48" t="s">
        <v>501</v>
      </c>
      <c r="C202" s="48" t="s">
        <v>502</v>
      </c>
      <c r="D202" s="48">
        <v>1.201562385E11</v>
      </c>
      <c r="E202" s="48">
        <v>21000.0</v>
      </c>
      <c r="F202" s="48" t="s">
        <v>503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6" t="s">
        <v>58</v>
      </c>
      <c r="C203" s="6" t="s">
        <v>504</v>
      </c>
      <c r="D203" s="6"/>
      <c r="E203" s="6">
        <v>18900.0</v>
      </c>
      <c r="F203" s="6" t="s">
        <v>505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9"/>
      <c r="B204" s="6" t="s">
        <v>506</v>
      </c>
      <c r="C204" s="6" t="s">
        <v>507</v>
      </c>
      <c r="D204" s="6">
        <v>6.07624508526E11</v>
      </c>
      <c r="E204" s="6">
        <v>1504.0</v>
      </c>
      <c r="F204" s="6" t="s">
        <v>508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9"/>
      <c r="B205" s="17" t="s">
        <v>509</v>
      </c>
      <c r="C205" s="17">
        <v>9.71558961702E11</v>
      </c>
      <c r="D205" s="6">
        <v>6.07637303163E11</v>
      </c>
      <c r="E205" s="6">
        <v>2360.0</v>
      </c>
      <c r="F205" s="6" t="s">
        <v>510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3"/>
      <c r="B206" s="17" t="s">
        <v>511</v>
      </c>
      <c r="C206" s="6" t="s">
        <v>68</v>
      </c>
      <c r="D206" s="6">
        <v>6.4425619812E11</v>
      </c>
      <c r="E206" s="6">
        <v>2360.0</v>
      </c>
      <c r="F206" s="17" t="s">
        <v>512</v>
      </c>
      <c r="G206" s="3"/>
      <c r="H206" s="5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9"/>
      <c r="B207" s="6" t="s">
        <v>513</v>
      </c>
      <c r="C207" s="6" t="s">
        <v>514</v>
      </c>
      <c r="D207" s="6" t="s">
        <v>515</v>
      </c>
      <c r="E207" s="6">
        <v>3360.0</v>
      </c>
      <c r="F207" s="6" t="s">
        <v>516</v>
      </c>
      <c r="G207" s="3"/>
      <c r="H207" s="5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9"/>
      <c r="B208" s="6" t="s">
        <v>517</v>
      </c>
      <c r="C208" s="6" t="s">
        <v>518</v>
      </c>
      <c r="D208" s="6">
        <v>1.20162523305E11</v>
      </c>
      <c r="E208" s="6">
        <v>2004.0</v>
      </c>
      <c r="F208" s="6" t="s">
        <v>519</v>
      </c>
      <c r="G208" s="3"/>
      <c r="H208" s="5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5"/>
      <c r="B209" s="6" t="s">
        <v>520</v>
      </c>
      <c r="C209" s="6">
        <v>9.567152348E9</v>
      </c>
      <c r="D209" s="6">
        <v>6.07671574376E11</v>
      </c>
      <c r="E209" s="6">
        <v>1503.0</v>
      </c>
      <c r="F209" s="6" t="s">
        <v>521</v>
      </c>
      <c r="G209" s="3"/>
      <c r="H209" s="5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9"/>
      <c r="B210" s="6" t="s">
        <v>522</v>
      </c>
      <c r="C210" s="6" t="s">
        <v>523</v>
      </c>
      <c r="D210" s="6">
        <v>6.07692419451E11</v>
      </c>
      <c r="E210" s="6">
        <v>3360.0</v>
      </c>
      <c r="F210" s="6" t="s">
        <v>524</v>
      </c>
      <c r="G210" s="3"/>
      <c r="H210" s="5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9"/>
      <c r="B211" s="6" t="s">
        <v>525</v>
      </c>
      <c r="C211" s="6" t="s">
        <v>526</v>
      </c>
      <c r="D211" s="6">
        <v>6.07671003155E11</v>
      </c>
      <c r="E211" s="6">
        <v>3150.0</v>
      </c>
      <c r="F211" s="6" t="s">
        <v>29</v>
      </c>
      <c r="G211" s="3"/>
      <c r="H211" s="5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9"/>
      <c r="B212" s="6" t="s">
        <v>527</v>
      </c>
      <c r="C212" s="6" t="s">
        <v>528</v>
      </c>
      <c r="D212" s="17">
        <v>6.07655334958E11</v>
      </c>
      <c r="E212" s="6">
        <v>1050.0</v>
      </c>
      <c r="F212" s="6" t="s">
        <v>529</v>
      </c>
      <c r="G212" s="3"/>
      <c r="H212" s="5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9"/>
      <c r="B213" s="6" t="s">
        <v>530</v>
      </c>
      <c r="C213" s="6" t="s">
        <v>531</v>
      </c>
      <c r="D213" s="6">
        <v>6.07641651448E11</v>
      </c>
      <c r="E213" s="6">
        <v>1680.0</v>
      </c>
      <c r="F213" s="6" t="s">
        <v>466</v>
      </c>
      <c r="G213" s="3"/>
      <c r="H213" s="5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6" t="s">
        <v>532</v>
      </c>
      <c r="C214" s="6" t="s">
        <v>533</v>
      </c>
      <c r="D214" s="6">
        <v>6.07691831972E11</v>
      </c>
      <c r="E214" s="6">
        <v>18900.0</v>
      </c>
      <c r="F214" s="6" t="s">
        <v>534</v>
      </c>
      <c r="G214" s="3"/>
      <c r="H214" s="5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27" t="s">
        <v>535</v>
      </c>
      <c r="C215" s="27" t="s">
        <v>536</v>
      </c>
      <c r="D215" s="27">
        <v>6.07634261125E11</v>
      </c>
      <c r="E215" s="6">
        <v>3360.0</v>
      </c>
      <c r="F215" s="6" t="s">
        <v>189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9"/>
      <c r="B216" s="17" t="s">
        <v>537</v>
      </c>
      <c r="C216" s="6">
        <v>9.48696648E9</v>
      </c>
      <c r="D216" s="6">
        <v>6.07633440068E11</v>
      </c>
      <c r="E216" s="6">
        <v>2360.0</v>
      </c>
      <c r="F216" s="6" t="s">
        <v>375</v>
      </c>
      <c r="G216" s="3"/>
      <c r="H216" s="5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9"/>
      <c r="B217" s="6" t="s">
        <v>538</v>
      </c>
      <c r="C217" s="6" t="s">
        <v>539</v>
      </c>
      <c r="D217" s="6">
        <v>1.201827925E11</v>
      </c>
      <c r="E217" s="6">
        <v>3360.0</v>
      </c>
      <c r="F217" s="6" t="s">
        <v>540</v>
      </c>
      <c r="G217" s="3"/>
      <c r="H217" s="5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 t="s">
        <v>541</v>
      </c>
      <c r="B218" s="17" t="s">
        <v>542</v>
      </c>
      <c r="C218" s="6" t="s">
        <v>543</v>
      </c>
      <c r="D218" s="6" t="s">
        <v>544</v>
      </c>
      <c r="E218" s="6">
        <v>3360.0</v>
      </c>
      <c r="F218" s="6" t="s">
        <v>274</v>
      </c>
      <c r="G218" s="3"/>
      <c r="H218" s="5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9"/>
      <c r="B219" s="17" t="s">
        <v>545</v>
      </c>
      <c r="C219" s="6" t="s">
        <v>342</v>
      </c>
      <c r="D219" s="6">
        <v>6.07738855891E11</v>
      </c>
      <c r="E219" s="6">
        <v>2360.0</v>
      </c>
      <c r="F219" s="6" t="s">
        <v>226</v>
      </c>
      <c r="G219" s="3"/>
      <c r="H219" s="5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9"/>
      <c r="B220" s="17" t="s">
        <v>546</v>
      </c>
      <c r="C220" s="6">
        <v>9.17339407736E11</v>
      </c>
      <c r="D220" s="6">
        <v>6.07760779332E11</v>
      </c>
      <c r="E220" s="6">
        <v>3150.0</v>
      </c>
      <c r="F220" s="17" t="s">
        <v>54</v>
      </c>
      <c r="G220" s="3"/>
      <c r="H220" s="5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9"/>
      <c r="B221" s="17" t="s">
        <v>547</v>
      </c>
      <c r="C221" s="6" t="s">
        <v>548</v>
      </c>
      <c r="D221" s="6">
        <v>6.07708772108E11</v>
      </c>
      <c r="E221" s="6">
        <v>2004.0</v>
      </c>
      <c r="F221" s="6" t="s">
        <v>174</v>
      </c>
      <c r="G221" s="3"/>
      <c r="H221" s="5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9"/>
      <c r="B222" s="48" t="s">
        <v>549</v>
      </c>
      <c r="C222" s="48" t="s">
        <v>550</v>
      </c>
      <c r="D222" s="48">
        <v>6.07729189814E11</v>
      </c>
      <c r="E222" s="48">
        <v>21000.0</v>
      </c>
      <c r="F222" s="48" t="s">
        <v>551</v>
      </c>
      <c r="G222" s="3"/>
      <c r="H222" s="5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9"/>
      <c r="B223" s="5" t="s">
        <v>552</v>
      </c>
      <c r="C223" s="6">
        <v>9.34231839E9</v>
      </c>
      <c r="D223" s="6">
        <v>6.07689104502E11</v>
      </c>
      <c r="E223" s="6">
        <v>2608.0</v>
      </c>
      <c r="F223" s="6" t="s">
        <v>553</v>
      </c>
      <c r="G223" s="3"/>
      <c r="H223" s="5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9"/>
      <c r="B224" s="17" t="s">
        <v>554</v>
      </c>
      <c r="C224" s="6">
        <f>61435916800</f>
        <v>61435916800</v>
      </c>
      <c r="D224" s="6">
        <v>6.07702253467E11</v>
      </c>
      <c r="E224" s="6">
        <v>26300.0</v>
      </c>
      <c r="F224" s="6" t="s">
        <v>555</v>
      </c>
      <c r="G224" s="3"/>
      <c r="H224" s="5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17" t="s">
        <v>556</v>
      </c>
      <c r="C225" s="6">
        <v>9.945435099E9</v>
      </c>
      <c r="D225" s="6">
        <v>6.07722563666E11</v>
      </c>
      <c r="E225" s="6">
        <v>3150.0</v>
      </c>
      <c r="F225" s="17" t="s">
        <v>557</v>
      </c>
      <c r="G225" s="3"/>
      <c r="H225" s="5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9"/>
      <c r="B226" s="17" t="s">
        <v>558</v>
      </c>
      <c r="C226" s="6">
        <v>6.38155567E9</v>
      </c>
      <c r="D226" s="6">
        <v>6.44330805594E11</v>
      </c>
      <c r="E226" s="6">
        <v>2004.0</v>
      </c>
      <c r="F226" s="17" t="s">
        <v>559</v>
      </c>
      <c r="G226" s="3"/>
      <c r="H226" s="5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17" t="s">
        <v>560</v>
      </c>
      <c r="C227" s="6">
        <v>9.15051243E9</v>
      </c>
      <c r="D227" s="6">
        <v>6.07600660152E11</v>
      </c>
      <c r="E227" s="6">
        <v>699.0</v>
      </c>
      <c r="F227" s="6" t="s">
        <v>484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17" t="s">
        <v>561</v>
      </c>
      <c r="C228" s="6">
        <v>9.941476203E9</v>
      </c>
      <c r="D228" s="6">
        <v>6.07747558599E11</v>
      </c>
      <c r="E228" s="6">
        <v>3150.0</v>
      </c>
      <c r="F228" s="6" t="s">
        <v>14</v>
      </c>
      <c r="G228" s="8"/>
      <c r="H228" s="3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9"/>
      <c r="B229" s="6" t="s">
        <v>562</v>
      </c>
      <c r="C229" s="6" t="s">
        <v>563</v>
      </c>
      <c r="D229" s="6">
        <v>6.07787882424E11</v>
      </c>
      <c r="E229" s="6">
        <v>1503.0</v>
      </c>
      <c r="F229" s="6" t="s">
        <v>564</v>
      </c>
      <c r="G229" s="8"/>
      <c r="H229" s="3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9"/>
      <c r="B230" s="6" t="s">
        <v>565</v>
      </c>
      <c r="C230" s="6" t="s">
        <v>137</v>
      </c>
      <c r="D230" s="6">
        <v>6.0771709555E11</v>
      </c>
      <c r="E230" s="6">
        <v>1180.0</v>
      </c>
      <c r="F230" s="6" t="s">
        <v>35</v>
      </c>
      <c r="G230" s="8"/>
      <c r="H230" s="3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9"/>
      <c r="B231" s="6" t="s">
        <v>566</v>
      </c>
      <c r="C231" s="6" t="s">
        <v>567</v>
      </c>
      <c r="D231" s="6">
        <v>6.07720959925E11</v>
      </c>
      <c r="E231" s="6">
        <v>2360.0</v>
      </c>
      <c r="F231" s="6" t="s">
        <v>202</v>
      </c>
      <c r="G231" s="8"/>
      <c r="H231" s="3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0"/>
      <c r="B232" s="48" t="s">
        <v>568</v>
      </c>
      <c r="C232" s="48" t="s">
        <v>569</v>
      </c>
      <c r="D232" s="48">
        <v>6.44368625648E11</v>
      </c>
      <c r="E232" s="48">
        <v>26400.0</v>
      </c>
      <c r="F232" s="56" t="s">
        <v>570</v>
      </c>
      <c r="G232" s="8"/>
      <c r="H232" s="3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9"/>
      <c r="B233" s="6" t="s">
        <v>571</v>
      </c>
      <c r="C233" s="6" t="s">
        <v>572</v>
      </c>
      <c r="D233" s="6">
        <v>1.0940820862E11</v>
      </c>
      <c r="E233" s="6">
        <v>1503.0</v>
      </c>
      <c r="F233" s="6" t="s">
        <v>573</v>
      </c>
      <c r="G233" s="8"/>
      <c r="H233" s="3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"/>
      <c r="B234" s="27" t="s">
        <v>574</v>
      </c>
      <c r="C234" s="6" t="s">
        <v>575</v>
      </c>
      <c r="D234" s="6">
        <v>6.44363408414E11</v>
      </c>
      <c r="E234" s="6">
        <v>3360.0</v>
      </c>
      <c r="F234" s="6" t="s">
        <v>576</v>
      </c>
      <c r="G234" s="8"/>
      <c r="H234" s="3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9"/>
      <c r="B235" s="6" t="s">
        <v>577</v>
      </c>
      <c r="C235" s="6">
        <v>8.148260694E9</v>
      </c>
      <c r="D235" s="6">
        <v>1.09408343768E11</v>
      </c>
      <c r="E235" s="6">
        <v>699.0</v>
      </c>
      <c r="F235" s="6" t="s">
        <v>578</v>
      </c>
      <c r="G235" s="8"/>
      <c r="H235" s="3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9"/>
      <c r="B236" s="1" t="s">
        <v>579</v>
      </c>
      <c r="C236" s="6" t="s">
        <v>580</v>
      </c>
      <c r="D236" s="6">
        <v>3.80155157105E11</v>
      </c>
      <c r="E236" s="6">
        <v>1503.0</v>
      </c>
      <c r="F236" s="6" t="s">
        <v>581</v>
      </c>
      <c r="G236" s="8"/>
      <c r="H236" s="3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9"/>
      <c r="B237" s="23" t="s">
        <v>582</v>
      </c>
      <c r="C237" s="6" t="s">
        <v>583</v>
      </c>
      <c r="D237" s="6">
        <v>1.20223455815E11</v>
      </c>
      <c r="E237" s="6">
        <v>6720.0</v>
      </c>
      <c r="F237" s="6" t="s">
        <v>584</v>
      </c>
      <c r="G237" s="8"/>
      <c r="H237" s="3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9"/>
      <c r="B238" s="6" t="s">
        <v>585</v>
      </c>
      <c r="C238" s="6">
        <v>9.744351252E9</v>
      </c>
      <c r="D238" s="6">
        <v>6.4434691066E11</v>
      </c>
      <c r="E238" s="6">
        <v>1503.0</v>
      </c>
      <c r="F238" s="6" t="s">
        <v>586</v>
      </c>
      <c r="G238" s="8"/>
      <c r="H238" s="3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"/>
      <c r="B239" s="1" t="s">
        <v>587</v>
      </c>
      <c r="C239" s="6" t="s">
        <v>588</v>
      </c>
      <c r="D239" s="6">
        <v>1.09409608319E11</v>
      </c>
      <c r="E239" s="6">
        <v>3540.0</v>
      </c>
      <c r="F239" s="17" t="s">
        <v>589</v>
      </c>
      <c r="G239" s="8"/>
      <c r="H239" s="3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"/>
      <c r="B240" s="1" t="s">
        <v>590</v>
      </c>
      <c r="C240" s="17" t="s">
        <v>591</v>
      </c>
      <c r="D240" s="6">
        <v>1.20234059337E11</v>
      </c>
      <c r="E240" s="6">
        <v>4509.0</v>
      </c>
      <c r="F240" s="6" t="s">
        <v>592</v>
      </c>
      <c r="G240" s="8"/>
      <c r="H240" s="3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" t="s">
        <v>593</v>
      </c>
      <c r="B241" s="1" t="s">
        <v>594</v>
      </c>
      <c r="C241" s="6">
        <v>9.791427637E9</v>
      </c>
      <c r="D241" s="6">
        <v>1.09412438404E11</v>
      </c>
      <c r="E241" s="6">
        <v>1503.0</v>
      </c>
      <c r="F241" s="6" t="s">
        <v>595</v>
      </c>
      <c r="G241" s="8"/>
      <c r="H241" s="3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9"/>
      <c r="B242" s="6" t="s">
        <v>596</v>
      </c>
      <c r="C242" s="6" t="s">
        <v>225</v>
      </c>
      <c r="D242" s="6">
        <v>6.44404748963E11</v>
      </c>
      <c r="E242" s="6">
        <v>2004.0</v>
      </c>
      <c r="F242" s="17" t="s">
        <v>597</v>
      </c>
      <c r="G242" s="8"/>
      <c r="H242" s="3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57"/>
      <c r="B243" s="58" t="s">
        <v>598</v>
      </c>
      <c r="C243" s="48" t="s">
        <v>599</v>
      </c>
      <c r="D243" s="48" t="s">
        <v>600</v>
      </c>
      <c r="E243" s="48">
        <v>25300.0</v>
      </c>
      <c r="F243" s="48" t="s">
        <v>601</v>
      </c>
      <c r="G243" s="8"/>
      <c r="H243" s="3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9"/>
      <c r="B244" s="6" t="s">
        <v>602</v>
      </c>
      <c r="C244" s="6" t="s">
        <v>603</v>
      </c>
      <c r="D244" s="6">
        <v>6.01213936835E11</v>
      </c>
      <c r="E244" s="6">
        <v>700.0</v>
      </c>
      <c r="F244" s="6" t="s">
        <v>471</v>
      </c>
      <c r="G244" s="8"/>
      <c r="H244" s="3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9"/>
      <c r="B245" s="6" t="s">
        <v>604</v>
      </c>
      <c r="C245" s="6" t="s">
        <v>605</v>
      </c>
      <c r="D245" s="7">
        <v>6.07809800761E11</v>
      </c>
      <c r="E245" s="6">
        <v>2607.0</v>
      </c>
      <c r="F245" s="6" t="s">
        <v>606</v>
      </c>
      <c r="G245" s="8"/>
      <c r="H245" s="3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9"/>
      <c r="B246" s="1" t="s">
        <v>607</v>
      </c>
      <c r="C246" s="5">
        <v>9.840743349E9</v>
      </c>
      <c r="D246" s="5">
        <v>6.07881812115E11</v>
      </c>
      <c r="E246" s="5">
        <v>1180.0</v>
      </c>
      <c r="F246" s="1" t="s">
        <v>161</v>
      </c>
      <c r="G246" s="8"/>
      <c r="H246" s="3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45"/>
      <c r="B247" s="6" t="s">
        <v>608</v>
      </c>
      <c r="C247" s="6" t="s">
        <v>609</v>
      </c>
      <c r="D247" s="6">
        <v>6.07870332198E11</v>
      </c>
      <c r="E247" s="6">
        <v>3360.0</v>
      </c>
      <c r="F247" s="6" t="s">
        <v>610</v>
      </c>
      <c r="G247" s="8"/>
      <c r="H247" s="3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" t="s">
        <v>611</v>
      </c>
      <c r="B248" s="6" t="s">
        <v>612</v>
      </c>
      <c r="C248" s="6" t="s">
        <v>613</v>
      </c>
      <c r="D248" s="6">
        <v>1.20293109894E11</v>
      </c>
      <c r="E248" s="6">
        <v>16000.0</v>
      </c>
      <c r="F248" s="6" t="s">
        <v>614</v>
      </c>
      <c r="G248" s="8"/>
      <c r="H248" s="3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59"/>
      <c r="B249" s="50" t="s">
        <v>615</v>
      </c>
      <c r="C249" s="50">
        <v>7.358810901E9</v>
      </c>
      <c r="D249" s="50">
        <v>6.07961286575E11</v>
      </c>
      <c r="E249" s="48">
        <v>21000.0</v>
      </c>
      <c r="F249" s="48" t="s">
        <v>616</v>
      </c>
      <c r="G249" s="8"/>
      <c r="H249" s="3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9"/>
      <c r="B250" s="6" t="s">
        <v>617</v>
      </c>
      <c r="C250" s="6" t="s">
        <v>618</v>
      </c>
      <c r="D250" s="6">
        <v>6.07933867059E11</v>
      </c>
      <c r="E250" s="6">
        <v>1180.0</v>
      </c>
      <c r="F250" s="6" t="s">
        <v>112</v>
      </c>
      <c r="G250" s="8"/>
      <c r="H250" s="3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"/>
      <c r="B251" s="6" t="s">
        <v>619</v>
      </c>
      <c r="C251" s="6" t="s">
        <v>620</v>
      </c>
      <c r="D251" s="6">
        <v>6.07940155585E11</v>
      </c>
      <c r="E251" s="6">
        <v>6300.0</v>
      </c>
      <c r="F251" s="6" t="s">
        <v>621</v>
      </c>
      <c r="G251" s="8"/>
      <c r="H251" s="3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9"/>
      <c r="B252" s="6" t="s">
        <v>622</v>
      </c>
      <c r="C252" s="6" t="s">
        <v>623</v>
      </c>
      <c r="D252" s="6">
        <v>6.07903446105E11</v>
      </c>
      <c r="E252" s="6">
        <v>699.0</v>
      </c>
      <c r="F252" s="6" t="s">
        <v>471</v>
      </c>
      <c r="G252" s="8"/>
      <c r="H252" s="3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"/>
      <c r="B253" s="6" t="s">
        <v>624</v>
      </c>
      <c r="C253" s="17">
        <v>8.344619545E9</v>
      </c>
      <c r="D253" s="6">
        <v>6.0795073911E11</v>
      </c>
      <c r="E253" s="6">
        <v>699.0</v>
      </c>
      <c r="F253" s="6" t="s">
        <v>625</v>
      </c>
      <c r="G253" s="8"/>
      <c r="H253" s="3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B254" s="6" t="s">
        <v>626</v>
      </c>
      <c r="C254" s="6">
        <v>8.056896612E9</v>
      </c>
      <c r="D254" s="6">
        <v>1.20326565743E11</v>
      </c>
      <c r="E254" s="6">
        <v>1180.0</v>
      </c>
      <c r="F254" s="6" t="s">
        <v>35</v>
      </c>
      <c r="G254" s="8"/>
      <c r="H254" s="3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"/>
      <c r="B255" s="6" t="s">
        <v>627</v>
      </c>
      <c r="C255" s="6">
        <v>9.884989061E9</v>
      </c>
      <c r="D255" s="6">
        <v>6.44576120186E11</v>
      </c>
      <c r="E255" s="6">
        <v>699.0</v>
      </c>
      <c r="F255" s="6" t="s">
        <v>625</v>
      </c>
      <c r="G255" s="8"/>
      <c r="H255" s="3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" t="s">
        <v>628</v>
      </c>
      <c r="B256" s="6" t="s">
        <v>629</v>
      </c>
      <c r="C256" s="6" t="s">
        <v>630</v>
      </c>
      <c r="D256" s="6" t="s">
        <v>631</v>
      </c>
      <c r="E256" s="6">
        <v>1503.0</v>
      </c>
      <c r="F256" s="6" t="s">
        <v>632</v>
      </c>
      <c r="G256" s="8"/>
      <c r="H256" s="3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"/>
      <c r="B257" s="50" t="s">
        <v>633</v>
      </c>
      <c r="C257" s="50" t="s">
        <v>634</v>
      </c>
      <c r="D257" s="48">
        <v>6.08066926085E11</v>
      </c>
      <c r="E257" s="48">
        <v>21000.0</v>
      </c>
      <c r="F257" s="48" t="s">
        <v>635</v>
      </c>
      <c r="G257" s="8"/>
      <c r="H257" s="3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"/>
      <c r="B258" s="6" t="s">
        <v>636</v>
      </c>
      <c r="C258" s="6">
        <v>7.272070766E9</v>
      </c>
      <c r="D258" s="6">
        <v>1.19622988837E11</v>
      </c>
      <c r="E258" s="6">
        <v>1180.0</v>
      </c>
      <c r="F258" s="6" t="s">
        <v>637</v>
      </c>
      <c r="G258" s="8"/>
      <c r="H258" s="3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"/>
      <c r="B259" s="48" t="s">
        <v>638</v>
      </c>
      <c r="C259" s="48">
        <v>9.498026716E9</v>
      </c>
      <c r="D259" s="48">
        <v>1.20352118598E11</v>
      </c>
      <c r="E259" s="48">
        <v>21000.0</v>
      </c>
      <c r="F259" s="48" t="s">
        <v>639</v>
      </c>
      <c r="G259" s="8"/>
      <c r="H259" s="3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"/>
      <c r="B260" s="50" t="s">
        <v>640</v>
      </c>
      <c r="C260" s="48">
        <v>7.899162599E9</v>
      </c>
      <c r="D260" s="48">
        <v>6.44540747619E11</v>
      </c>
      <c r="E260" s="48">
        <v>21000.0</v>
      </c>
      <c r="F260" s="48" t="s">
        <v>641</v>
      </c>
      <c r="G260" s="8"/>
      <c r="H260" s="3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9"/>
      <c r="B261" s="6" t="s">
        <v>642</v>
      </c>
      <c r="C261" s="6" t="s">
        <v>643</v>
      </c>
      <c r="D261" s="7">
        <v>6.08082805066E11</v>
      </c>
      <c r="E261" s="6">
        <v>6310.0</v>
      </c>
      <c r="F261" s="6" t="s">
        <v>644</v>
      </c>
      <c r="G261" s="8"/>
      <c r="H261" s="3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9"/>
      <c r="B262" s="6" t="s">
        <v>645</v>
      </c>
      <c r="C262" s="6" t="s">
        <v>646</v>
      </c>
      <c r="D262" s="7">
        <v>6.08096690121E11</v>
      </c>
      <c r="E262" s="6">
        <v>699.0</v>
      </c>
      <c r="F262" s="6" t="s">
        <v>578</v>
      </c>
      <c r="G262" s="8"/>
      <c r="H262" s="3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9"/>
      <c r="B263" s="6" t="s">
        <v>647</v>
      </c>
      <c r="C263" s="6" t="s">
        <v>648</v>
      </c>
      <c r="D263" s="7">
        <v>1.20356958603E11</v>
      </c>
      <c r="E263" s="6">
        <v>699.0</v>
      </c>
      <c r="F263" s="6" t="s">
        <v>625</v>
      </c>
      <c r="G263" s="8"/>
      <c r="H263" s="3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9"/>
      <c r="B264" s="6" t="s">
        <v>649</v>
      </c>
      <c r="C264" s="6" t="s">
        <v>650</v>
      </c>
      <c r="D264" s="7"/>
      <c r="E264" s="6" t="s">
        <v>651</v>
      </c>
      <c r="F264" s="6" t="s">
        <v>652</v>
      </c>
      <c r="G264" s="8"/>
      <c r="H264" s="3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"/>
      <c r="B265" s="6" t="s">
        <v>653</v>
      </c>
      <c r="C265" s="6" t="s">
        <v>654</v>
      </c>
      <c r="D265" s="6">
        <v>6.08090926014E11</v>
      </c>
      <c r="E265" s="6">
        <v>3360.0</v>
      </c>
      <c r="F265" s="6" t="s">
        <v>655</v>
      </c>
      <c r="G265" s="8"/>
      <c r="H265" s="3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9"/>
      <c r="B266" s="6" t="s">
        <v>656</v>
      </c>
      <c r="C266" s="6" t="s">
        <v>137</v>
      </c>
      <c r="D266" s="6" t="s">
        <v>657</v>
      </c>
      <c r="E266" s="6">
        <v>3360.0</v>
      </c>
      <c r="F266" s="6" t="s">
        <v>658</v>
      </c>
      <c r="G266" s="8"/>
      <c r="H266" s="3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36.75" customHeight="1">
      <c r="A267" s="9"/>
      <c r="B267" s="6" t="s">
        <v>659</v>
      </c>
      <c r="C267" s="6" t="s">
        <v>660</v>
      </c>
      <c r="D267" s="6">
        <v>6.0801487254E11</v>
      </c>
      <c r="E267" s="6">
        <v>2004.0</v>
      </c>
      <c r="F267" s="6" t="s">
        <v>661</v>
      </c>
      <c r="G267" s="8"/>
      <c r="H267" s="3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9"/>
      <c r="B268" s="6" t="s">
        <v>662</v>
      </c>
      <c r="C268" s="6">
        <v>8.300949738E9</v>
      </c>
      <c r="D268" s="6">
        <v>6.08044707104E11</v>
      </c>
      <c r="E268" s="6">
        <v>3150.0</v>
      </c>
      <c r="F268" s="6" t="s">
        <v>54</v>
      </c>
      <c r="G268" s="8"/>
      <c r="H268" s="3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9"/>
      <c r="B269" s="6" t="s">
        <v>663</v>
      </c>
      <c r="C269" s="6">
        <v>8.939966344E9</v>
      </c>
      <c r="D269" s="6">
        <v>6.0802073054E11</v>
      </c>
      <c r="E269" s="6">
        <v>699.0</v>
      </c>
      <c r="F269" s="6" t="s">
        <v>664</v>
      </c>
      <c r="G269" s="8"/>
      <c r="H269" s="3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"/>
      <c r="B270" s="6" t="s">
        <v>665</v>
      </c>
      <c r="C270" s="6" t="s">
        <v>666</v>
      </c>
      <c r="D270" s="6">
        <v>6.44654816981E11</v>
      </c>
      <c r="E270" s="6">
        <v>2360.0</v>
      </c>
      <c r="F270" s="6" t="s">
        <v>202</v>
      </c>
      <c r="G270" s="8"/>
      <c r="H270" s="3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9"/>
      <c r="B271" s="6" t="s">
        <v>667</v>
      </c>
      <c r="C271" s="6" t="s">
        <v>668</v>
      </c>
      <c r="D271" s="6">
        <v>6.08036118197E11</v>
      </c>
      <c r="E271" s="6">
        <v>3150.0</v>
      </c>
      <c r="F271" s="6" t="s">
        <v>63</v>
      </c>
      <c r="G271" s="8"/>
      <c r="H271" s="3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" t="s">
        <v>669</v>
      </c>
      <c r="B272" s="6" t="s">
        <v>670</v>
      </c>
      <c r="C272" s="6">
        <v>8.144555511E9</v>
      </c>
      <c r="D272" s="6">
        <v>6.44751648153E11</v>
      </c>
      <c r="E272" s="6">
        <v>4810.0</v>
      </c>
      <c r="F272" s="6" t="s">
        <v>671</v>
      </c>
      <c r="G272" s="8"/>
      <c r="H272" s="3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9"/>
      <c r="B273" s="6" t="s">
        <v>672</v>
      </c>
      <c r="C273" s="6" t="s">
        <v>673</v>
      </c>
      <c r="D273" s="6">
        <v>6.08107354099E11</v>
      </c>
      <c r="E273" s="6">
        <v>699.0</v>
      </c>
      <c r="F273" s="6" t="s">
        <v>408</v>
      </c>
      <c r="G273" s="8"/>
      <c r="H273" s="3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"/>
      <c r="B274" s="17" t="s">
        <v>674</v>
      </c>
      <c r="C274" s="6" t="s">
        <v>675</v>
      </c>
      <c r="D274" s="6">
        <v>2.86802786088E11</v>
      </c>
      <c r="E274" s="6">
        <v>699.0</v>
      </c>
      <c r="F274" s="6" t="s">
        <v>578</v>
      </c>
      <c r="G274" s="8"/>
      <c r="H274" s="3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9"/>
      <c r="B275" s="6" t="s">
        <v>676</v>
      </c>
      <c r="C275" s="6">
        <v>6.369289146E9</v>
      </c>
      <c r="D275" s="6">
        <v>6.08110852868E11</v>
      </c>
      <c r="E275" s="6">
        <v>699.0</v>
      </c>
      <c r="F275" s="6" t="s">
        <v>578</v>
      </c>
      <c r="G275" s="8"/>
      <c r="H275" s="3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9"/>
      <c r="B276" s="17" t="s">
        <v>677</v>
      </c>
      <c r="C276" s="6">
        <v>7.395962668E9</v>
      </c>
      <c r="D276" s="6">
        <v>4.15895132349E11</v>
      </c>
      <c r="E276" s="6">
        <v>699.0</v>
      </c>
      <c r="F276" s="6" t="s">
        <v>578</v>
      </c>
      <c r="G276" s="8"/>
      <c r="H276" s="3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"/>
      <c r="B277" s="17" t="s">
        <v>678</v>
      </c>
      <c r="C277" s="6">
        <v>8.056290271E9</v>
      </c>
      <c r="D277" s="6">
        <v>1.20402703722E11</v>
      </c>
      <c r="E277" s="6">
        <v>1504.0</v>
      </c>
      <c r="F277" s="6" t="s">
        <v>679</v>
      </c>
      <c r="G277" s="8"/>
      <c r="H277" s="3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9"/>
      <c r="B278" s="6" t="s">
        <v>387</v>
      </c>
      <c r="C278" s="17">
        <v>6.369131815E9</v>
      </c>
      <c r="D278" s="6">
        <v>6.08146266881E11</v>
      </c>
      <c r="E278" s="6">
        <v>699.0</v>
      </c>
      <c r="F278" s="6" t="s">
        <v>578</v>
      </c>
      <c r="G278" s="8"/>
      <c r="H278" s="3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"/>
      <c r="B279" s="6" t="s">
        <v>680</v>
      </c>
      <c r="C279" s="5" t="s">
        <v>681</v>
      </c>
      <c r="D279" s="6">
        <v>6.44747942439E11</v>
      </c>
      <c r="E279" s="6">
        <v>1180.0</v>
      </c>
      <c r="F279" s="6" t="s">
        <v>112</v>
      </c>
      <c r="G279" s="8"/>
      <c r="H279" s="3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9"/>
      <c r="B280" s="17" t="s">
        <v>682</v>
      </c>
      <c r="C280" s="6" t="s">
        <v>683</v>
      </c>
      <c r="D280" s="6">
        <v>6.08106871932E11</v>
      </c>
      <c r="E280" s="6">
        <v>3360.0</v>
      </c>
      <c r="F280" s="6" t="s">
        <v>196</v>
      </c>
      <c r="G280" s="8"/>
      <c r="H280" s="3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"/>
      <c r="B281" s="48" t="s">
        <v>684</v>
      </c>
      <c r="C281" s="48">
        <v>7.338991912E9</v>
      </c>
      <c r="D281" s="48">
        <v>6.0815231171E11</v>
      </c>
      <c r="E281" s="48">
        <v>21000.0</v>
      </c>
      <c r="F281" s="48" t="s">
        <v>641</v>
      </c>
      <c r="G281" s="8"/>
      <c r="H281" s="3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9"/>
      <c r="B282" s="6" t="s">
        <v>685</v>
      </c>
      <c r="C282" s="6">
        <v>9.626648339E9</v>
      </c>
      <c r="D282" s="6">
        <v>6.08153443636E11</v>
      </c>
      <c r="E282" s="6">
        <v>699.0</v>
      </c>
      <c r="F282" s="6" t="s">
        <v>625</v>
      </c>
      <c r="G282" s="8"/>
      <c r="H282" s="3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9"/>
      <c r="B283" s="6" t="s">
        <v>686</v>
      </c>
      <c r="C283" s="6">
        <v>7.736629742E9</v>
      </c>
      <c r="D283" s="6">
        <v>1.20408108465E11</v>
      </c>
      <c r="E283" s="6">
        <v>699.0</v>
      </c>
      <c r="F283" s="6" t="s">
        <v>625</v>
      </c>
      <c r="G283" s="8"/>
      <c r="H283" s="3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9"/>
      <c r="B284" s="17" t="s">
        <v>687</v>
      </c>
      <c r="C284" s="6">
        <v>9.744351252E9</v>
      </c>
      <c r="D284" s="6">
        <v>6.44736249659E11</v>
      </c>
      <c r="E284" s="6">
        <v>1503.0</v>
      </c>
      <c r="F284" s="6" t="s">
        <v>688</v>
      </c>
      <c r="G284" s="8"/>
      <c r="H284" s="3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9"/>
      <c r="B285" s="6" t="s">
        <v>689</v>
      </c>
      <c r="C285" s="6" t="s">
        <v>690</v>
      </c>
      <c r="D285" s="6">
        <v>6.08116621331E11</v>
      </c>
      <c r="E285" s="6">
        <v>3360.0</v>
      </c>
      <c r="F285" s="6" t="s">
        <v>691</v>
      </c>
      <c r="G285" s="8"/>
      <c r="H285" s="3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9"/>
      <c r="B286" s="6" t="s">
        <v>692</v>
      </c>
      <c r="C286" s="6">
        <v>9.600694575E9</v>
      </c>
      <c r="D286" s="6">
        <v>1.20411891708E11</v>
      </c>
      <c r="E286" s="6">
        <v>699.0</v>
      </c>
      <c r="F286" s="6" t="s">
        <v>471</v>
      </c>
      <c r="G286" s="8"/>
      <c r="H286" s="3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9"/>
      <c r="B287" s="6" t="s">
        <v>693</v>
      </c>
      <c r="C287" s="6">
        <v>9.385377651E9</v>
      </c>
      <c r="D287" s="6">
        <v>6.08119880997E11</v>
      </c>
      <c r="E287" s="6">
        <v>699.0</v>
      </c>
      <c r="F287" s="6" t="s">
        <v>471</v>
      </c>
      <c r="G287" s="8"/>
      <c r="H287" s="3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"/>
      <c r="B288" s="17" t="s">
        <v>58</v>
      </c>
      <c r="C288" s="6" t="s">
        <v>694</v>
      </c>
      <c r="D288" s="6">
        <v>6.08130100865E11</v>
      </c>
      <c r="E288" s="6">
        <v>3360.0</v>
      </c>
      <c r="F288" s="6" t="s">
        <v>695</v>
      </c>
      <c r="G288" s="8"/>
      <c r="H288" s="3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9"/>
      <c r="B289" s="17" t="s">
        <v>696</v>
      </c>
      <c r="C289" s="6" t="s">
        <v>697</v>
      </c>
      <c r="D289" s="6">
        <v>6.08198399193E11</v>
      </c>
      <c r="E289" s="6">
        <v>3360.0</v>
      </c>
      <c r="F289" s="6" t="s">
        <v>695</v>
      </c>
      <c r="G289" s="8"/>
      <c r="H289" s="3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" t="s">
        <v>698</v>
      </c>
      <c r="B290" s="17" t="s">
        <v>699</v>
      </c>
      <c r="C290" s="6" t="s">
        <v>700</v>
      </c>
      <c r="D290" s="6">
        <v>6.08132647661E11</v>
      </c>
      <c r="E290" s="6">
        <v>1180.0</v>
      </c>
      <c r="F290" s="6" t="s">
        <v>112</v>
      </c>
      <c r="G290" s="8"/>
      <c r="H290" s="3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"/>
      <c r="B291" s="5" t="s">
        <v>701</v>
      </c>
      <c r="C291" s="6">
        <v>9.99439406E9</v>
      </c>
      <c r="D291" s="6">
        <v>1.20440700086E11</v>
      </c>
      <c r="E291" s="6">
        <v>699.0</v>
      </c>
      <c r="F291" s="6" t="s">
        <v>702</v>
      </c>
      <c r="G291" s="8"/>
      <c r="H291" s="3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9"/>
      <c r="B292" s="17" t="s">
        <v>703</v>
      </c>
      <c r="C292" s="6">
        <v>9.363044552E9</v>
      </c>
      <c r="D292" s="6">
        <v>6.08221720165E11</v>
      </c>
      <c r="E292" s="6">
        <v>699.0</v>
      </c>
      <c r="F292" s="6" t="s">
        <v>704</v>
      </c>
      <c r="G292" s="8"/>
      <c r="H292" s="3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"/>
      <c r="B293" s="17" t="s">
        <v>705</v>
      </c>
      <c r="C293" s="6" t="s">
        <v>706</v>
      </c>
      <c r="D293" s="6">
        <v>6.08200307912E11</v>
      </c>
      <c r="E293" s="6">
        <v>699.0</v>
      </c>
      <c r="F293" s="6" t="s">
        <v>707</v>
      </c>
      <c r="G293" s="8"/>
      <c r="H293" s="3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9"/>
      <c r="B294" s="17" t="s">
        <v>708</v>
      </c>
      <c r="C294" s="6">
        <v>9.944654677E9</v>
      </c>
      <c r="D294" s="6">
        <v>6.08175754562E11</v>
      </c>
      <c r="E294" s="6">
        <v>699.0</v>
      </c>
      <c r="F294" s="6" t="s">
        <v>707</v>
      </c>
      <c r="G294" s="8"/>
      <c r="H294" s="3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9"/>
      <c r="B295" s="17" t="s">
        <v>709</v>
      </c>
      <c r="C295" s="6" t="s">
        <v>710</v>
      </c>
      <c r="D295" s="6">
        <v>6.4481302505E11</v>
      </c>
      <c r="E295" s="6">
        <v>699.0</v>
      </c>
      <c r="F295" s="6" t="s">
        <v>704</v>
      </c>
      <c r="G295" s="8"/>
      <c r="H295" s="3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"/>
      <c r="B296" s="17" t="s">
        <v>711</v>
      </c>
      <c r="C296" s="6">
        <v>7.358646616E9</v>
      </c>
      <c r="D296" s="6">
        <v>3.99421536632E11</v>
      </c>
      <c r="E296" s="6">
        <v>699.0</v>
      </c>
      <c r="F296" s="6" t="s">
        <v>712</v>
      </c>
      <c r="G296" s="8"/>
      <c r="H296" s="3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9"/>
      <c r="B297" s="17" t="s">
        <v>713</v>
      </c>
      <c r="C297" s="6">
        <v>9.123551077E9</v>
      </c>
      <c r="D297" s="6">
        <v>1.20446152046E11</v>
      </c>
      <c r="E297" s="6">
        <v>699.0</v>
      </c>
      <c r="F297" s="17" t="s">
        <v>704</v>
      </c>
      <c r="G297" s="8"/>
      <c r="H297" s="3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9"/>
      <c r="B298" s="17" t="s">
        <v>714</v>
      </c>
      <c r="C298" s="6">
        <v>9.4763837899E10</v>
      </c>
      <c r="D298" s="6">
        <v>6.08263613721E11</v>
      </c>
      <c r="E298" s="6">
        <v>699.0</v>
      </c>
      <c r="F298" s="6" t="s">
        <v>704</v>
      </c>
      <c r="G298" s="8"/>
      <c r="H298" s="3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"/>
      <c r="B299" s="17" t="s">
        <v>715</v>
      </c>
      <c r="C299" s="6">
        <v>9.738884299E9</v>
      </c>
      <c r="D299" s="6">
        <v>7.52648977597E11</v>
      </c>
      <c r="E299" s="6">
        <v>699.0</v>
      </c>
      <c r="F299" s="6" t="s">
        <v>704</v>
      </c>
      <c r="G299" s="8"/>
      <c r="H299" s="3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2.5" customHeight="1">
      <c r="A300" s="9"/>
      <c r="B300" s="17" t="s">
        <v>716</v>
      </c>
      <c r="C300" s="6">
        <v>9.567973265E9</v>
      </c>
      <c r="D300" s="6">
        <v>6.08207691931E11</v>
      </c>
      <c r="E300" s="6">
        <v>1503.0</v>
      </c>
      <c r="F300" s="6" t="s">
        <v>717</v>
      </c>
      <c r="G300" s="8"/>
      <c r="H300" s="3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"/>
      <c r="B301" s="17" t="s">
        <v>718</v>
      </c>
      <c r="C301" s="6">
        <v>7.604978711E9</v>
      </c>
      <c r="D301" s="6"/>
      <c r="E301" s="6">
        <v>699.0</v>
      </c>
      <c r="F301" s="6" t="s">
        <v>719</v>
      </c>
      <c r="G301" s="8"/>
      <c r="H301" s="3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9"/>
      <c r="B302" s="17" t="s">
        <v>720</v>
      </c>
      <c r="C302" s="6">
        <v>8.870881499E9</v>
      </c>
      <c r="D302" s="6">
        <v>6.08211726623E11</v>
      </c>
      <c r="E302" s="6">
        <v>1680.0</v>
      </c>
      <c r="F302" s="17" t="s">
        <v>721</v>
      </c>
      <c r="G302" s="8"/>
      <c r="H302" s="3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"/>
      <c r="B303" s="17" t="s">
        <v>722</v>
      </c>
      <c r="C303" s="6" t="s">
        <v>225</v>
      </c>
      <c r="D303" s="6">
        <v>6.08254444315E11</v>
      </c>
      <c r="E303" s="6">
        <v>2004.0</v>
      </c>
      <c r="F303" s="17" t="s">
        <v>723</v>
      </c>
      <c r="G303" s="8"/>
      <c r="H303" s="3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"/>
      <c r="B304" s="50" t="s">
        <v>724</v>
      </c>
      <c r="C304" s="48">
        <v>6.1470403929E10</v>
      </c>
      <c r="D304" s="48">
        <v>6.0825282839E11</v>
      </c>
      <c r="E304" s="48">
        <v>21000.0</v>
      </c>
      <c r="F304" s="50" t="s">
        <v>725</v>
      </c>
      <c r="G304" s="8"/>
      <c r="H304" s="3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"/>
      <c r="B305" s="6" t="s">
        <v>726</v>
      </c>
      <c r="C305" s="17" t="s">
        <v>727</v>
      </c>
      <c r="D305" s="17">
        <v>6.08284832688E11</v>
      </c>
      <c r="E305" s="6">
        <v>699.0</v>
      </c>
      <c r="F305" s="17" t="s">
        <v>578</v>
      </c>
      <c r="G305" s="8"/>
      <c r="H305" s="3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9"/>
      <c r="B306" s="1" t="s">
        <v>728</v>
      </c>
      <c r="C306" s="6" t="s">
        <v>729</v>
      </c>
      <c r="D306" s="6">
        <v>6.08240938641E11</v>
      </c>
      <c r="E306" s="6">
        <v>3360.0</v>
      </c>
      <c r="F306" s="6" t="s">
        <v>730</v>
      </c>
      <c r="G306" s="8"/>
      <c r="H306" s="3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9"/>
      <c r="B307" s="1" t="s">
        <v>619</v>
      </c>
      <c r="C307" s="6" t="s">
        <v>620</v>
      </c>
      <c r="D307" s="6">
        <v>6.08220747967E11</v>
      </c>
      <c r="E307" s="6">
        <v>699.0</v>
      </c>
      <c r="F307" s="6" t="s">
        <v>719</v>
      </c>
      <c r="G307" s="8"/>
      <c r="H307" s="3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"/>
      <c r="B308" s="17" t="s">
        <v>731</v>
      </c>
      <c r="C308" s="6">
        <v>6.593621304E9</v>
      </c>
      <c r="D308" s="6" t="s">
        <v>732</v>
      </c>
      <c r="E308" s="6">
        <v>2360.0</v>
      </c>
      <c r="F308" s="6" t="s">
        <v>207</v>
      </c>
      <c r="G308" s="8"/>
      <c r="H308" s="3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"/>
      <c r="B309" s="17" t="s">
        <v>733</v>
      </c>
      <c r="C309" s="6">
        <v>8.148260694E9</v>
      </c>
      <c r="D309" s="6">
        <v>1.09440357095E11</v>
      </c>
      <c r="E309" s="6">
        <v>1180.0</v>
      </c>
      <c r="F309" s="6" t="s">
        <v>373</v>
      </c>
      <c r="G309" s="8"/>
      <c r="H309" s="3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"/>
      <c r="B310" s="6" t="s">
        <v>441</v>
      </c>
      <c r="C310" s="6" t="s">
        <v>734</v>
      </c>
      <c r="D310" s="6">
        <v>6.08223536928E11</v>
      </c>
      <c r="E310" s="6">
        <v>699.0</v>
      </c>
      <c r="F310" s="6" t="s">
        <v>408</v>
      </c>
      <c r="G310" s="8"/>
      <c r="H310" s="3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9"/>
      <c r="B311" s="6" t="s">
        <v>735</v>
      </c>
      <c r="C311" s="6" t="s">
        <v>736</v>
      </c>
      <c r="D311" s="6">
        <v>6.081988912E11</v>
      </c>
      <c r="E311" s="6">
        <v>699.0</v>
      </c>
      <c r="F311" s="6" t="s">
        <v>471</v>
      </c>
      <c r="G311" s="8"/>
      <c r="H311" s="3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9"/>
      <c r="B312" s="6" t="s">
        <v>737</v>
      </c>
      <c r="C312" s="6">
        <v>9.952542104E9</v>
      </c>
      <c r="D312" s="6">
        <v>1.09440592247E11</v>
      </c>
      <c r="E312" s="6">
        <v>699.0</v>
      </c>
      <c r="F312" s="6" t="s">
        <v>578</v>
      </c>
      <c r="G312" s="8"/>
      <c r="H312" s="3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9"/>
      <c r="B313" s="17" t="s">
        <v>738</v>
      </c>
      <c r="C313" s="17" t="s">
        <v>739</v>
      </c>
      <c r="D313" s="6">
        <v>6.44861371575E11</v>
      </c>
      <c r="E313" s="6">
        <v>699.0</v>
      </c>
      <c r="F313" s="17" t="s">
        <v>578</v>
      </c>
      <c r="G313" s="16"/>
      <c r="H313" s="3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9"/>
      <c r="B314" s="17" t="s">
        <v>740</v>
      </c>
      <c r="C314" s="17" t="s">
        <v>741</v>
      </c>
      <c r="D314" s="6">
        <v>6.44869141632E11</v>
      </c>
      <c r="E314" s="6">
        <v>699.0</v>
      </c>
      <c r="F314" s="17" t="s">
        <v>578</v>
      </c>
      <c r="G314" s="16"/>
      <c r="H314" s="3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2"/>
      <c r="B315" s="1" t="s">
        <v>742</v>
      </c>
      <c r="C315" s="17" t="s">
        <v>743</v>
      </c>
      <c r="D315" s="17">
        <v>6.08221449156E11</v>
      </c>
      <c r="E315" s="6">
        <v>1180.0</v>
      </c>
      <c r="F315" s="17" t="s">
        <v>35</v>
      </c>
      <c r="G315" s="16"/>
      <c r="H315" s="3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9"/>
      <c r="B316" s="17" t="s">
        <v>744</v>
      </c>
      <c r="C316" s="17">
        <v>9.443960968E9</v>
      </c>
      <c r="D316" s="17">
        <v>6.08299358128E11</v>
      </c>
      <c r="E316" s="6">
        <v>699.0</v>
      </c>
      <c r="F316" s="6" t="s">
        <v>578</v>
      </c>
      <c r="G316" s="16"/>
      <c r="H316" s="3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9"/>
      <c r="B317" s="17" t="s">
        <v>745</v>
      </c>
      <c r="C317" s="6">
        <v>8.072985902E9</v>
      </c>
      <c r="D317" s="6">
        <v>9.54312927128E11</v>
      </c>
      <c r="E317" s="6">
        <v>699.0</v>
      </c>
      <c r="F317" s="6" t="s">
        <v>704</v>
      </c>
      <c r="G317" s="16"/>
      <c r="H317" s="3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"/>
      <c r="B318" s="17" t="s">
        <v>746</v>
      </c>
      <c r="C318" s="6" t="s">
        <v>747</v>
      </c>
      <c r="D318" s="6">
        <v>6.44889087861E11</v>
      </c>
      <c r="E318" s="17">
        <v>3360.0</v>
      </c>
      <c r="F318" s="17" t="s">
        <v>695</v>
      </c>
      <c r="G318" s="16"/>
      <c r="H318" s="3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9"/>
      <c r="B319" s="6" t="s">
        <v>748</v>
      </c>
      <c r="C319" s="17" t="s">
        <v>749</v>
      </c>
      <c r="D319" s="6">
        <v>7.39674955907E11</v>
      </c>
      <c r="E319" s="6">
        <v>699.0</v>
      </c>
      <c r="F319" s="6" t="s">
        <v>393</v>
      </c>
      <c r="G319" s="8"/>
      <c r="H319" s="3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" t="s">
        <v>750</v>
      </c>
      <c r="B320" s="17" t="s">
        <v>751</v>
      </c>
      <c r="C320" s="6" t="s">
        <v>752</v>
      </c>
      <c r="D320" s="6"/>
      <c r="E320" s="6">
        <v>3360.0</v>
      </c>
      <c r="F320" s="17" t="s">
        <v>753</v>
      </c>
      <c r="G320" s="8"/>
      <c r="H320" s="3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9"/>
      <c r="B321" s="17" t="s">
        <v>754</v>
      </c>
      <c r="C321" s="6" t="s">
        <v>755</v>
      </c>
      <c r="D321" s="6">
        <v>6.44812194444E11</v>
      </c>
      <c r="E321" s="6">
        <v>699.0</v>
      </c>
      <c r="F321" s="17" t="s">
        <v>756</v>
      </c>
      <c r="G321" s="8"/>
      <c r="H321" s="3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9"/>
      <c r="B322" s="17" t="s">
        <v>757</v>
      </c>
      <c r="C322" s="6" t="s">
        <v>758</v>
      </c>
      <c r="D322" s="6">
        <v>1.20485169421E11</v>
      </c>
      <c r="E322" s="6">
        <v>3360.0</v>
      </c>
      <c r="F322" s="6" t="s">
        <v>576</v>
      </c>
      <c r="G322" s="8"/>
      <c r="H322" s="3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"/>
      <c r="B323" s="17" t="s">
        <v>759</v>
      </c>
      <c r="C323" s="6" t="s">
        <v>760</v>
      </c>
      <c r="D323" s="6">
        <v>1.20490543643E11</v>
      </c>
      <c r="E323" s="6">
        <v>3360.0</v>
      </c>
      <c r="F323" s="6" t="s">
        <v>576</v>
      </c>
      <c r="G323" s="8"/>
      <c r="H323" s="3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9"/>
      <c r="B324" s="6" t="s">
        <v>761</v>
      </c>
      <c r="C324" s="6" t="s">
        <v>762</v>
      </c>
      <c r="D324" s="6">
        <v>6.08321821837E11</v>
      </c>
      <c r="E324" s="6">
        <v>699.0</v>
      </c>
      <c r="F324" s="6" t="s">
        <v>408</v>
      </c>
      <c r="G324" s="8"/>
      <c r="H324" s="3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9"/>
      <c r="B325" s="17" t="s">
        <v>763</v>
      </c>
      <c r="C325" s="6">
        <v>7.63935668E9</v>
      </c>
      <c r="D325" s="6">
        <v>1.20492140564E11</v>
      </c>
      <c r="E325" s="6">
        <v>699.0</v>
      </c>
      <c r="F325" s="17" t="s">
        <v>719</v>
      </c>
      <c r="G325" s="8"/>
      <c r="H325" s="3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9"/>
      <c r="B326" s="17" t="s">
        <v>764</v>
      </c>
      <c r="C326" s="6" t="s">
        <v>765</v>
      </c>
      <c r="D326" s="6">
        <v>6.08280371191E11</v>
      </c>
      <c r="E326" s="6">
        <v>699.0</v>
      </c>
      <c r="F326" s="17" t="s">
        <v>719</v>
      </c>
      <c r="G326" s="8"/>
      <c r="H326" s="3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"/>
      <c r="B327" s="6" t="s">
        <v>766</v>
      </c>
      <c r="C327" s="6" t="s">
        <v>767</v>
      </c>
      <c r="D327" s="6">
        <v>5.67920504166E11</v>
      </c>
      <c r="E327" s="6">
        <v>3360.0</v>
      </c>
      <c r="F327" s="6" t="s">
        <v>753</v>
      </c>
      <c r="G327" s="8"/>
      <c r="H327" s="3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9"/>
      <c r="B328" s="17" t="s">
        <v>768</v>
      </c>
      <c r="C328" s="6" t="s">
        <v>769</v>
      </c>
      <c r="D328" s="6">
        <v>1.20492640913E11</v>
      </c>
      <c r="E328" s="6">
        <v>3360.0</v>
      </c>
      <c r="F328" s="6" t="s">
        <v>770</v>
      </c>
      <c r="G328" s="8"/>
      <c r="H328" s="3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"/>
      <c r="B329" s="50" t="s">
        <v>771</v>
      </c>
      <c r="C329" s="48" t="s">
        <v>772</v>
      </c>
      <c r="D329" s="48">
        <v>6.08370135903E11</v>
      </c>
      <c r="E329" s="48">
        <v>21000.0</v>
      </c>
      <c r="F329" s="50" t="s">
        <v>773</v>
      </c>
      <c r="G329" s="8"/>
      <c r="H329" s="3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9"/>
      <c r="B330" s="1" t="s">
        <v>774</v>
      </c>
      <c r="C330" s="6" t="s">
        <v>775</v>
      </c>
      <c r="D330" s="6">
        <v>1.20484170353E11</v>
      </c>
      <c r="E330" s="6">
        <v>2004.0</v>
      </c>
      <c r="F330" s="6" t="s">
        <v>776</v>
      </c>
      <c r="G330" s="8"/>
      <c r="H330" s="3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9"/>
      <c r="B331" s="48" t="s">
        <v>777</v>
      </c>
      <c r="C331" s="48" t="s">
        <v>778</v>
      </c>
      <c r="D331" s="48">
        <v>6.08317790689E11</v>
      </c>
      <c r="E331" s="48">
        <v>21000.0</v>
      </c>
      <c r="F331" s="48" t="s">
        <v>779</v>
      </c>
      <c r="G331" s="8"/>
      <c r="H331" s="3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9"/>
      <c r="B332" s="27" t="s">
        <v>780</v>
      </c>
      <c r="C332" s="27" t="s">
        <v>781</v>
      </c>
      <c r="D332" s="27">
        <v>6.0805560214E11</v>
      </c>
      <c r="E332" s="6">
        <v>3360.0</v>
      </c>
      <c r="F332" s="6" t="s">
        <v>782</v>
      </c>
      <c r="G332" s="8"/>
      <c r="H332" s="3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"/>
      <c r="B333" s="17" t="s">
        <v>783</v>
      </c>
      <c r="C333" s="6" t="s">
        <v>784</v>
      </c>
      <c r="D333" s="6">
        <v>6.08364996467E11</v>
      </c>
      <c r="E333" s="6">
        <v>1448.0</v>
      </c>
      <c r="F333" s="17" t="s">
        <v>785</v>
      </c>
      <c r="G333" s="8"/>
      <c r="H333" s="3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"/>
      <c r="B334" s="1" t="s">
        <v>786</v>
      </c>
      <c r="C334" s="17">
        <v>9.025100134E9</v>
      </c>
      <c r="D334" s="6">
        <v>6.08334036713E11</v>
      </c>
      <c r="E334" s="6">
        <v>2500.0</v>
      </c>
      <c r="F334" s="6" t="s">
        <v>787</v>
      </c>
      <c r="G334" s="8"/>
      <c r="H334" s="3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4.0" customHeight="1">
      <c r="A335" s="6"/>
      <c r="B335" s="17" t="s">
        <v>788</v>
      </c>
      <c r="C335" s="6" t="s">
        <v>789</v>
      </c>
      <c r="D335" s="6">
        <v>6.08333641281E11</v>
      </c>
      <c r="E335" s="6">
        <v>3360.0</v>
      </c>
      <c r="F335" s="6" t="s">
        <v>790</v>
      </c>
      <c r="G335" s="8"/>
      <c r="H335" s="3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9"/>
      <c r="B336" s="6" t="s">
        <v>791</v>
      </c>
      <c r="C336" s="6" t="s">
        <v>792</v>
      </c>
      <c r="D336" s="6">
        <v>6.08305288702E11</v>
      </c>
      <c r="E336" s="6">
        <v>3360.0</v>
      </c>
      <c r="F336" s="6" t="s">
        <v>793</v>
      </c>
      <c r="G336" s="8"/>
      <c r="H336" s="3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9"/>
      <c r="B337" s="6" t="s">
        <v>794</v>
      </c>
      <c r="C337" s="6" t="s">
        <v>795</v>
      </c>
      <c r="D337" s="17">
        <v>1.20504985165E11</v>
      </c>
      <c r="E337" s="6">
        <v>3360.0</v>
      </c>
      <c r="F337" s="6" t="s">
        <v>796</v>
      </c>
      <c r="G337" s="8"/>
      <c r="H337" s="3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9"/>
      <c r="B338" s="17" t="s">
        <v>797</v>
      </c>
      <c r="C338" s="6" t="s">
        <v>798</v>
      </c>
      <c r="D338" s="6">
        <v>7.06872900165E11</v>
      </c>
      <c r="E338" s="6">
        <v>699.0</v>
      </c>
      <c r="F338" s="6" t="s">
        <v>471</v>
      </c>
      <c r="G338" s="8"/>
      <c r="H338" s="3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"/>
      <c r="B339" s="17" t="s">
        <v>799</v>
      </c>
      <c r="C339" s="6" t="s">
        <v>800</v>
      </c>
      <c r="D339" s="6">
        <v>2.86082152116E11</v>
      </c>
      <c r="E339" s="6">
        <v>699.0</v>
      </c>
      <c r="F339" s="6" t="s">
        <v>471</v>
      </c>
      <c r="G339" s="8"/>
      <c r="H339" s="3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9"/>
      <c r="B340" s="17" t="s">
        <v>801</v>
      </c>
      <c r="C340" s="6" t="s">
        <v>802</v>
      </c>
      <c r="D340" s="6">
        <v>1.2050614264E11</v>
      </c>
      <c r="E340" s="6">
        <v>699.0</v>
      </c>
      <c r="F340" s="17" t="s">
        <v>625</v>
      </c>
      <c r="G340" s="8"/>
      <c r="H340" s="3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9"/>
      <c r="B341" s="17" t="s">
        <v>803</v>
      </c>
      <c r="C341" s="6">
        <v>9.489123046E9</v>
      </c>
      <c r="D341" s="6">
        <v>6.08384080599E11</v>
      </c>
      <c r="E341" s="6">
        <v>699.0</v>
      </c>
      <c r="F341" s="6" t="s">
        <v>578</v>
      </c>
      <c r="G341" s="8"/>
      <c r="H341" s="3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9"/>
      <c r="B342" s="17" t="s">
        <v>804</v>
      </c>
      <c r="C342" s="6">
        <v>9.789985218E9</v>
      </c>
      <c r="D342" s="6">
        <v>6.08308516804E11</v>
      </c>
      <c r="E342" s="6">
        <v>699.0</v>
      </c>
      <c r="F342" s="17" t="s">
        <v>625</v>
      </c>
      <c r="G342" s="8"/>
      <c r="H342" s="3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"/>
      <c r="B343" s="17" t="s">
        <v>805</v>
      </c>
      <c r="C343" s="6">
        <v>9.786026064E9</v>
      </c>
      <c r="D343" s="6">
        <v>6.08320140565E11</v>
      </c>
      <c r="E343" s="6">
        <v>699.0</v>
      </c>
      <c r="F343" s="6" t="s">
        <v>806</v>
      </c>
      <c r="G343" s="8"/>
      <c r="H343" s="3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9"/>
      <c r="B344" s="17" t="s">
        <v>807</v>
      </c>
      <c r="C344" s="6" t="s">
        <v>808</v>
      </c>
      <c r="D344" s="6">
        <v>1.09447142972E11</v>
      </c>
      <c r="E344" s="6">
        <v>2607.0</v>
      </c>
      <c r="F344" s="17" t="s">
        <v>809</v>
      </c>
      <c r="G344" s="8"/>
      <c r="H344" s="3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9"/>
      <c r="B345" s="17" t="s">
        <v>810</v>
      </c>
      <c r="C345" s="6">
        <v>9.159588051E9</v>
      </c>
      <c r="D345" s="6">
        <v>6.44979304122E11</v>
      </c>
      <c r="E345" s="6">
        <v>1680.0</v>
      </c>
      <c r="F345" s="6" t="s">
        <v>811</v>
      </c>
      <c r="G345" s="8"/>
      <c r="H345" s="3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"/>
      <c r="B346" s="1" t="s">
        <v>812</v>
      </c>
      <c r="C346" s="17" t="s">
        <v>813</v>
      </c>
      <c r="D346" s="6">
        <v>1.40335026456E11</v>
      </c>
      <c r="E346" s="6">
        <v>699.0</v>
      </c>
      <c r="F346" s="6" t="s">
        <v>625</v>
      </c>
      <c r="G346" s="8"/>
      <c r="H346" s="3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"/>
      <c r="B347" s="6" t="s">
        <v>814</v>
      </c>
      <c r="C347" s="6" t="s">
        <v>815</v>
      </c>
      <c r="D347" s="6">
        <v>8.3761113987E10</v>
      </c>
      <c r="E347" s="6">
        <v>699.0</v>
      </c>
      <c r="F347" s="6" t="s">
        <v>578</v>
      </c>
      <c r="G347" s="8"/>
      <c r="H347" s="3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9"/>
      <c r="B348" s="6" t="s">
        <v>816</v>
      </c>
      <c r="C348" s="27">
        <v>8.825558486E9</v>
      </c>
      <c r="D348" s="6">
        <v>8.00056332759E11</v>
      </c>
      <c r="E348" s="6">
        <v>699.0</v>
      </c>
      <c r="F348" s="6" t="s">
        <v>704</v>
      </c>
      <c r="G348" s="8"/>
      <c r="H348" s="3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53"/>
      <c r="B349" s="6" t="s">
        <v>817</v>
      </c>
      <c r="C349" s="27" t="s">
        <v>818</v>
      </c>
      <c r="D349" s="6">
        <v>1.20520789168E11</v>
      </c>
      <c r="E349" s="6">
        <v>699.0</v>
      </c>
      <c r="F349" s="6" t="s">
        <v>578</v>
      </c>
      <c r="G349" s="8"/>
      <c r="H349" s="3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"/>
      <c r="B350" s="6" t="s">
        <v>819</v>
      </c>
      <c r="C350" s="27" t="s">
        <v>820</v>
      </c>
      <c r="D350" s="6">
        <v>6.08332611266E11</v>
      </c>
      <c r="E350" s="6">
        <v>1503.0</v>
      </c>
      <c r="F350" s="17" t="s">
        <v>821</v>
      </c>
      <c r="G350" s="8"/>
      <c r="H350" s="3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9"/>
      <c r="B351" s="1" t="s">
        <v>822</v>
      </c>
      <c r="C351" s="6">
        <v>7.418188704E9</v>
      </c>
      <c r="D351" s="6">
        <v>6.44910826359E11</v>
      </c>
      <c r="E351" s="6">
        <v>699.0</v>
      </c>
      <c r="F351" s="6" t="s">
        <v>806</v>
      </c>
      <c r="G351" s="8"/>
      <c r="H351" s="3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9"/>
      <c r="B352" s="17" t="s">
        <v>823</v>
      </c>
      <c r="C352" s="6" t="s">
        <v>824</v>
      </c>
      <c r="D352" s="6">
        <v>6.08332177297E11</v>
      </c>
      <c r="E352" s="6">
        <v>1503.0</v>
      </c>
      <c r="F352" s="6" t="s">
        <v>825</v>
      </c>
      <c r="G352" s="8"/>
      <c r="H352" s="3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9"/>
      <c r="B353" s="6" t="s">
        <v>826</v>
      </c>
      <c r="C353" s="6" t="s">
        <v>827</v>
      </c>
      <c r="D353" s="6">
        <v>6.08392777624E11</v>
      </c>
      <c r="E353" s="6">
        <v>699.0</v>
      </c>
      <c r="F353" s="6" t="s">
        <v>578</v>
      </c>
      <c r="G353" s="8"/>
      <c r="H353" s="3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" t="s">
        <v>828</v>
      </c>
      <c r="B354" s="17" t="s">
        <v>829</v>
      </c>
      <c r="C354" s="6" t="s">
        <v>830</v>
      </c>
      <c r="D354" s="6">
        <v>1.20535475681E11</v>
      </c>
      <c r="E354" s="6">
        <v>699.0</v>
      </c>
      <c r="F354" s="6" t="s">
        <v>471</v>
      </c>
      <c r="G354" s="8"/>
      <c r="H354" s="3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9"/>
      <c r="B355" s="17" t="s">
        <v>831</v>
      </c>
      <c r="C355" s="6" t="s">
        <v>832</v>
      </c>
      <c r="D355" s="6">
        <v>3.995288325E11</v>
      </c>
      <c r="E355" s="6">
        <v>699.0</v>
      </c>
      <c r="F355" s="6" t="s">
        <v>471</v>
      </c>
      <c r="G355" s="8"/>
      <c r="H355" s="3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9"/>
      <c r="B356" s="17" t="s">
        <v>833</v>
      </c>
      <c r="C356" s="6" t="s">
        <v>834</v>
      </c>
      <c r="D356" s="6">
        <v>6.08384379717E11</v>
      </c>
      <c r="E356" s="6">
        <v>3360.0</v>
      </c>
      <c r="F356" s="6" t="s">
        <v>835</v>
      </c>
      <c r="G356" s="8"/>
      <c r="H356" s="3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9"/>
      <c r="B357" s="17" t="s">
        <v>836</v>
      </c>
      <c r="C357" s="6">
        <v>9.843896222E9</v>
      </c>
      <c r="D357" s="6">
        <v>6.0840759615E11</v>
      </c>
      <c r="E357" s="6">
        <v>699.0</v>
      </c>
      <c r="F357" s="6" t="s">
        <v>837</v>
      </c>
      <c r="G357" s="8"/>
      <c r="H357" s="3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"/>
      <c r="B358" s="17" t="s">
        <v>838</v>
      </c>
      <c r="C358" s="6">
        <v>9.789093947E9</v>
      </c>
      <c r="D358" s="6">
        <v>6.08378402035E11</v>
      </c>
      <c r="E358" s="6">
        <v>699.0</v>
      </c>
      <c r="F358" s="6" t="s">
        <v>837</v>
      </c>
      <c r="G358" s="8"/>
      <c r="H358" s="3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9"/>
      <c r="B359" s="6" t="s">
        <v>839</v>
      </c>
      <c r="C359" s="6">
        <v>8.148125967E9</v>
      </c>
      <c r="D359" s="6">
        <v>6.08440153134E11</v>
      </c>
      <c r="E359" s="6">
        <v>699.0</v>
      </c>
      <c r="F359" s="6" t="s">
        <v>712</v>
      </c>
      <c r="G359" s="8"/>
      <c r="H359" s="3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9"/>
      <c r="B360" s="6" t="s">
        <v>840</v>
      </c>
      <c r="C360" s="6">
        <v>8.438739002E9</v>
      </c>
      <c r="D360" s="6">
        <v>1.20538482079E11</v>
      </c>
      <c r="E360" s="6">
        <v>699.0</v>
      </c>
      <c r="F360" s="6" t="s">
        <v>756</v>
      </c>
      <c r="G360" s="8"/>
      <c r="H360" s="3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3.25" customHeight="1">
      <c r="A361" s="6"/>
      <c r="B361" s="6" t="s">
        <v>841</v>
      </c>
      <c r="C361" s="6" t="s">
        <v>842</v>
      </c>
      <c r="D361" s="6"/>
      <c r="E361" s="6">
        <v>699.0</v>
      </c>
      <c r="F361" s="6" t="s">
        <v>712</v>
      </c>
      <c r="G361" s="8"/>
      <c r="H361" s="3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5"/>
      <c r="B362" s="15" t="s">
        <v>843</v>
      </c>
      <c r="C362" s="15">
        <v>9.19786338562E11</v>
      </c>
      <c r="D362" s="15">
        <v>1.20540486902E11</v>
      </c>
      <c r="E362" s="6">
        <v>699.0</v>
      </c>
      <c r="F362" s="6" t="s">
        <v>844</v>
      </c>
      <c r="G362" s="8"/>
      <c r="H362" s="3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"/>
      <c r="B363" s="17" t="s">
        <v>845</v>
      </c>
      <c r="C363" s="6" t="s">
        <v>846</v>
      </c>
      <c r="D363" s="6">
        <v>6.4504361089E11</v>
      </c>
      <c r="E363" s="6">
        <v>699.0</v>
      </c>
      <c r="F363" s="6" t="s">
        <v>578</v>
      </c>
      <c r="G363" s="8"/>
      <c r="H363" s="3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9"/>
      <c r="B364" s="1" t="s">
        <v>847</v>
      </c>
      <c r="C364" s="6" t="s">
        <v>848</v>
      </c>
      <c r="D364" s="6">
        <v>6.45046402334E11</v>
      </c>
      <c r="E364" s="6">
        <v>699.0</v>
      </c>
      <c r="F364" s="6" t="s">
        <v>578</v>
      </c>
      <c r="G364" s="8"/>
      <c r="H364" s="3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9"/>
      <c r="B365" s="17" t="s">
        <v>849</v>
      </c>
      <c r="C365" s="6" t="s">
        <v>850</v>
      </c>
      <c r="D365" s="6">
        <v>6.30246751258E11</v>
      </c>
      <c r="E365" s="6">
        <v>699.0</v>
      </c>
      <c r="F365" s="6" t="s">
        <v>756</v>
      </c>
      <c r="G365" s="8"/>
      <c r="H365" s="3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9"/>
      <c r="B366" s="17" t="s">
        <v>851</v>
      </c>
      <c r="C366" s="6">
        <f>918056290435</f>
        <v>918056290435</v>
      </c>
      <c r="D366" s="6">
        <v>1.20530823344E11</v>
      </c>
      <c r="E366" s="6">
        <v>699.0</v>
      </c>
      <c r="F366" s="6" t="s">
        <v>756</v>
      </c>
      <c r="G366" s="8"/>
      <c r="H366" s="3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"/>
      <c r="B367" s="17" t="s">
        <v>852</v>
      </c>
      <c r="C367" s="6">
        <v>7.871870512E9</v>
      </c>
      <c r="D367" s="6">
        <v>6.08442294851E11</v>
      </c>
      <c r="E367" s="6">
        <v>3150.0</v>
      </c>
      <c r="F367" s="6" t="s">
        <v>29</v>
      </c>
      <c r="G367" s="8"/>
      <c r="H367" s="3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9"/>
      <c r="B368" s="6" t="s">
        <v>853</v>
      </c>
      <c r="C368" s="6" t="s">
        <v>854</v>
      </c>
      <c r="D368" s="6">
        <v>6.45094623236E11</v>
      </c>
      <c r="E368" s="6">
        <v>699.0</v>
      </c>
      <c r="F368" s="6" t="s">
        <v>664</v>
      </c>
      <c r="G368" s="8"/>
      <c r="H368" s="3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9"/>
      <c r="B369" s="6" t="s">
        <v>855</v>
      </c>
      <c r="C369" s="6" t="s">
        <v>856</v>
      </c>
      <c r="D369" s="6">
        <v>6.45058855004E11</v>
      </c>
      <c r="E369" s="6">
        <v>699.0</v>
      </c>
      <c r="F369" s="17" t="s">
        <v>578</v>
      </c>
      <c r="G369" s="8"/>
      <c r="H369" s="3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5"/>
      <c r="B370" s="6" t="s">
        <v>857</v>
      </c>
      <c r="C370" s="6">
        <v>9.18925408163E11</v>
      </c>
      <c r="D370" s="6">
        <v>8.00032470292E11</v>
      </c>
      <c r="E370" s="6">
        <v>699.0</v>
      </c>
      <c r="F370" s="17" t="s">
        <v>578</v>
      </c>
      <c r="G370" s="8"/>
      <c r="H370" s="3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9"/>
      <c r="B371" s="6" t="s">
        <v>858</v>
      </c>
      <c r="C371" s="6">
        <f>918056437787</f>
        <v>918056437787</v>
      </c>
      <c r="D371" s="6">
        <v>1.20543840357E11</v>
      </c>
      <c r="E371" s="6">
        <v>699.0</v>
      </c>
      <c r="F371" s="17" t="s">
        <v>578</v>
      </c>
      <c r="G371" s="8"/>
      <c r="H371" s="3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9"/>
      <c r="B372" s="6" t="s">
        <v>859</v>
      </c>
      <c r="C372" s="6">
        <f>918838490001 </f>
        <v>918838490001</v>
      </c>
      <c r="D372" s="6">
        <v>6.08425104791E11</v>
      </c>
      <c r="E372" s="6">
        <v>699.0</v>
      </c>
      <c r="F372" s="17" t="s">
        <v>578</v>
      </c>
      <c r="G372" s="8"/>
      <c r="H372" s="3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9"/>
      <c r="B373" s="6" t="s">
        <v>860</v>
      </c>
      <c r="C373" s="6" t="s">
        <v>861</v>
      </c>
      <c r="D373" s="6">
        <v>6.45014052517E11</v>
      </c>
      <c r="E373" s="6">
        <v>3360.0</v>
      </c>
      <c r="F373" s="6" t="s">
        <v>695</v>
      </c>
      <c r="G373" s="8"/>
      <c r="H373" s="3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"/>
      <c r="B374" s="17" t="s">
        <v>862</v>
      </c>
      <c r="C374" s="6">
        <v>9.19844055599E11</v>
      </c>
      <c r="D374" s="17">
        <v>2.77437230262E11</v>
      </c>
      <c r="E374" s="6">
        <v>699.0</v>
      </c>
      <c r="F374" s="6" t="s">
        <v>704</v>
      </c>
      <c r="G374" s="8"/>
      <c r="H374" s="3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9"/>
      <c r="B375" s="17" t="s">
        <v>863</v>
      </c>
      <c r="C375" s="6">
        <f>919047134535</f>
        <v>919047134535</v>
      </c>
      <c r="D375" s="6">
        <v>6.08417524342E11</v>
      </c>
      <c r="E375" s="6">
        <v>699.0</v>
      </c>
      <c r="F375" s="6" t="s">
        <v>578</v>
      </c>
      <c r="G375" s="8"/>
      <c r="H375" s="3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9"/>
      <c r="B376" s="5" t="s">
        <v>864</v>
      </c>
      <c r="C376" s="6">
        <v>-9.19789969487E11</v>
      </c>
      <c r="D376" s="6">
        <v>1.20533291904E11</v>
      </c>
      <c r="E376" s="6">
        <v>3150.0</v>
      </c>
      <c r="F376" s="6" t="s">
        <v>26</v>
      </c>
      <c r="G376" s="8"/>
      <c r="H376" s="3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"/>
      <c r="B377" s="6" t="s">
        <v>865</v>
      </c>
      <c r="C377" s="6">
        <v>9.19789957703E11</v>
      </c>
      <c r="D377" s="6">
        <v>6.08431751799E11</v>
      </c>
      <c r="E377" s="6">
        <v>699.0</v>
      </c>
      <c r="F377" s="6" t="s">
        <v>578</v>
      </c>
      <c r="G377" s="8"/>
      <c r="H377" s="3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"/>
      <c r="B378" s="6" t="s">
        <v>866</v>
      </c>
      <c r="C378" s="6" t="s">
        <v>867</v>
      </c>
      <c r="D378" s="6">
        <v>6.08433772029E11</v>
      </c>
      <c r="E378" s="6">
        <v>699.0</v>
      </c>
      <c r="F378" s="6" t="s">
        <v>578</v>
      </c>
      <c r="G378" s="8"/>
      <c r="H378" s="3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9"/>
      <c r="B379" s="6" t="s">
        <v>868</v>
      </c>
      <c r="C379" s="6" t="s">
        <v>869</v>
      </c>
      <c r="D379" s="6">
        <v>6.45028621931E11</v>
      </c>
      <c r="E379" s="6">
        <v>699.0</v>
      </c>
      <c r="F379" s="6" t="s">
        <v>756</v>
      </c>
      <c r="G379" s="8"/>
      <c r="H379" s="3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9"/>
      <c r="B380" s="6" t="s">
        <v>870</v>
      </c>
      <c r="C380" s="6" t="s">
        <v>871</v>
      </c>
      <c r="D380" s="6">
        <v>6.45094655152E11</v>
      </c>
      <c r="E380" s="6">
        <v>699.0</v>
      </c>
      <c r="F380" s="6" t="s">
        <v>756</v>
      </c>
      <c r="G380" s="8"/>
      <c r="H380" s="3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0" t="s">
        <v>872</v>
      </c>
      <c r="B381" s="6" t="s">
        <v>873</v>
      </c>
      <c r="C381" s="6">
        <f>918590501127 </f>
        <v>918590501127</v>
      </c>
      <c r="D381" s="6">
        <v>3.26135599187E11</v>
      </c>
      <c r="E381" s="6">
        <v>699.0</v>
      </c>
      <c r="F381" s="6" t="s">
        <v>756</v>
      </c>
      <c r="G381" s="8"/>
      <c r="H381" s="3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9"/>
      <c r="B382" s="17" t="s">
        <v>874</v>
      </c>
      <c r="C382" s="6" t="s">
        <v>875</v>
      </c>
      <c r="D382" s="6">
        <v>6.45063022688E11</v>
      </c>
      <c r="E382" s="6">
        <v>699.0</v>
      </c>
      <c r="F382" s="17" t="s">
        <v>578</v>
      </c>
      <c r="G382" s="8"/>
      <c r="H382" s="3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9"/>
      <c r="B383" s="17" t="s">
        <v>876</v>
      </c>
      <c r="C383" s="6">
        <v>8.015758131E9</v>
      </c>
      <c r="D383" s="6">
        <v>6.45055090008E11</v>
      </c>
      <c r="E383" s="6">
        <v>699.0</v>
      </c>
      <c r="F383" s="17" t="s">
        <v>578</v>
      </c>
      <c r="G383" s="8"/>
      <c r="H383" s="3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9"/>
      <c r="B384" s="17" t="s">
        <v>877</v>
      </c>
      <c r="C384" s="6" t="s">
        <v>878</v>
      </c>
      <c r="D384" s="6">
        <v>6.45050978574E11</v>
      </c>
      <c r="E384" s="6">
        <v>699.0</v>
      </c>
      <c r="F384" s="17" t="s">
        <v>879</v>
      </c>
      <c r="G384" s="8"/>
      <c r="H384" s="3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9"/>
      <c r="B385" s="17" t="s">
        <v>880</v>
      </c>
      <c r="C385" s="6" t="s">
        <v>881</v>
      </c>
      <c r="D385" s="6">
        <v>6.45048215825E11</v>
      </c>
      <c r="E385" s="6">
        <v>699.0</v>
      </c>
      <c r="F385" s="6" t="s">
        <v>756</v>
      </c>
      <c r="G385" s="8"/>
      <c r="H385" s="3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9"/>
      <c r="B386" s="17" t="s">
        <v>882</v>
      </c>
      <c r="C386" s="6">
        <v>9.344135275E9</v>
      </c>
      <c r="D386" s="6">
        <v>6.45033126145E11</v>
      </c>
      <c r="E386" s="6">
        <v>699.0</v>
      </c>
      <c r="F386" s="6" t="s">
        <v>664</v>
      </c>
      <c r="G386" s="8"/>
      <c r="H386" s="3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9"/>
      <c r="B387" s="6" t="s">
        <v>883</v>
      </c>
      <c r="C387" s="6">
        <v>8.056175199E9</v>
      </c>
      <c r="D387" s="6">
        <v>6.08436596849E11</v>
      </c>
      <c r="E387" s="6">
        <v>699.0</v>
      </c>
      <c r="F387" s="6" t="s">
        <v>884</v>
      </c>
      <c r="G387" s="8"/>
      <c r="H387" s="3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9"/>
      <c r="B388" s="17" t="s">
        <v>885</v>
      </c>
      <c r="C388" s="6">
        <v>7.70880908E8</v>
      </c>
      <c r="D388" s="6">
        <v>8.76382489141E11</v>
      </c>
      <c r="E388" s="6">
        <v>699.0</v>
      </c>
      <c r="F388" s="6" t="s">
        <v>484</v>
      </c>
      <c r="G388" s="8"/>
      <c r="H388" s="3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9"/>
      <c r="B389" s="6" t="s">
        <v>886</v>
      </c>
      <c r="C389" s="6" t="s">
        <v>887</v>
      </c>
      <c r="D389" s="6">
        <v>6.08433369613E11</v>
      </c>
      <c r="E389" s="6">
        <v>4806.0</v>
      </c>
      <c r="F389" s="6" t="s">
        <v>888</v>
      </c>
      <c r="G389" s="8"/>
      <c r="H389" s="3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9"/>
      <c r="B390" s="6" t="s">
        <v>889</v>
      </c>
      <c r="C390" s="6" t="s">
        <v>890</v>
      </c>
      <c r="D390" s="6">
        <v>1.20552986033E11</v>
      </c>
      <c r="E390" s="6">
        <v>699.0</v>
      </c>
      <c r="F390" s="6" t="s">
        <v>625</v>
      </c>
      <c r="G390" s="8"/>
      <c r="H390" s="3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"/>
      <c r="B391" s="6" t="s">
        <v>891</v>
      </c>
      <c r="C391" s="6">
        <v>9.923020875E9</v>
      </c>
      <c r="D391" s="6">
        <v>6.45016772176E11</v>
      </c>
      <c r="E391" s="6">
        <v>699.0</v>
      </c>
      <c r="F391" s="6" t="s">
        <v>471</v>
      </c>
      <c r="G391" s="8"/>
      <c r="H391" s="3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9"/>
      <c r="B392" s="6" t="s">
        <v>892</v>
      </c>
      <c r="C392" s="6">
        <v>8.792731902E9</v>
      </c>
      <c r="D392" s="6">
        <v>1.09453057093E11</v>
      </c>
      <c r="E392" s="6">
        <v>699.0</v>
      </c>
      <c r="F392" s="6" t="s">
        <v>471</v>
      </c>
      <c r="G392" s="8"/>
      <c r="H392" s="3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9"/>
      <c r="B393" s="6" t="s">
        <v>893</v>
      </c>
      <c r="C393" s="6" t="s">
        <v>894</v>
      </c>
      <c r="D393" s="6">
        <v>1.414264624E9</v>
      </c>
      <c r="E393" s="6">
        <v>699.0</v>
      </c>
      <c r="F393" s="6" t="s">
        <v>578</v>
      </c>
      <c r="G393" s="8"/>
      <c r="H393" s="3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9"/>
      <c r="B394" s="5" t="s">
        <v>895</v>
      </c>
      <c r="C394" s="6">
        <v>6.362422379E9</v>
      </c>
      <c r="D394" s="6">
        <v>1.26397534192E11</v>
      </c>
      <c r="E394" s="6">
        <v>699.0</v>
      </c>
      <c r="F394" s="6" t="s">
        <v>471</v>
      </c>
      <c r="G394" s="8"/>
      <c r="H394" s="3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9"/>
      <c r="B395" s="6" t="s">
        <v>896</v>
      </c>
      <c r="C395" s="6" t="s">
        <v>897</v>
      </c>
      <c r="D395" s="6">
        <v>3.25704833301E11</v>
      </c>
      <c r="E395" s="6">
        <v>699.0</v>
      </c>
      <c r="F395" s="6" t="s">
        <v>844</v>
      </c>
      <c r="G395" s="8"/>
      <c r="H395" s="3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9"/>
      <c r="B396" s="6" t="s">
        <v>898</v>
      </c>
      <c r="C396" s="6" t="s">
        <v>899</v>
      </c>
      <c r="D396" s="6">
        <v>6.4500819059E11</v>
      </c>
      <c r="E396" s="6">
        <v>699.0</v>
      </c>
      <c r="F396" s="6" t="s">
        <v>408</v>
      </c>
      <c r="G396" s="8"/>
      <c r="H396" s="3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"/>
      <c r="B397" s="6" t="s">
        <v>900</v>
      </c>
      <c r="C397" s="6" t="s">
        <v>901</v>
      </c>
      <c r="D397" s="6">
        <v>6.08411206974E11</v>
      </c>
      <c r="E397" s="6">
        <v>699.0</v>
      </c>
      <c r="F397" s="6" t="s">
        <v>704</v>
      </c>
      <c r="G397" s="8"/>
      <c r="H397" s="3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9"/>
      <c r="B398" s="6" t="s">
        <v>902</v>
      </c>
      <c r="C398" s="6">
        <v>9.025100134E9</v>
      </c>
      <c r="D398" s="6">
        <v>6.45069833495E11</v>
      </c>
      <c r="E398" s="6">
        <v>6300.0</v>
      </c>
      <c r="F398" s="6" t="s">
        <v>903</v>
      </c>
      <c r="G398" s="8"/>
      <c r="H398" s="3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"/>
      <c r="B399" s="6" t="s">
        <v>904</v>
      </c>
      <c r="C399" s="6">
        <v>8.130548827E9</v>
      </c>
      <c r="D399" s="6">
        <v>6.08487517027E11</v>
      </c>
      <c r="E399" s="6">
        <v>699.0</v>
      </c>
      <c r="F399" s="6" t="s">
        <v>625</v>
      </c>
      <c r="G399" s="8"/>
      <c r="H399" s="3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"/>
      <c r="B400" s="6" t="s">
        <v>905</v>
      </c>
      <c r="C400" s="6">
        <v>8.870101983E9</v>
      </c>
      <c r="D400" s="6">
        <v>1.20554538496E11</v>
      </c>
      <c r="E400" s="6">
        <v>699.0</v>
      </c>
      <c r="F400" s="6" t="s">
        <v>578</v>
      </c>
      <c r="G400" s="8"/>
      <c r="H400" s="3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9"/>
      <c r="B401" s="17" t="s">
        <v>906</v>
      </c>
      <c r="C401" s="6">
        <v>9.843063883E9</v>
      </c>
      <c r="D401" s="6">
        <v>4.07216570545E11</v>
      </c>
      <c r="E401" s="6">
        <v>699.0</v>
      </c>
      <c r="F401" s="6" t="s">
        <v>907</v>
      </c>
      <c r="G401" s="8"/>
      <c r="H401" s="3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9"/>
      <c r="B402" s="17" t="s">
        <v>908</v>
      </c>
      <c r="C402" s="6">
        <v>7.845959586E9</v>
      </c>
      <c r="D402" s="6">
        <v>6.08424643652E11</v>
      </c>
      <c r="E402" s="6">
        <v>699.0</v>
      </c>
      <c r="F402" s="6" t="s">
        <v>712</v>
      </c>
      <c r="G402" s="8"/>
      <c r="H402" s="3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9"/>
      <c r="B403" s="6" t="s">
        <v>909</v>
      </c>
      <c r="C403" s="6" t="s">
        <v>910</v>
      </c>
      <c r="D403" s="6">
        <v>6.45018945158E11</v>
      </c>
      <c r="E403" s="6">
        <v>699.0</v>
      </c>
      <c r="F403" s="6" t="s">
        <v>578</v>
      </c>
      <c r="G403" s="8"/>
      <c r="H403" s="3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9"/>
      <c r="B404" s="1" t="s">
        <v>911</v>
      </c>
      <c r="C404" s="6" t="s">
        <v>912</v>
      </c>
      <c r="D404" s="6">
        <v>6.45016068401E11</v>
      </c>
      <c r="E404" s="6">
        <v>699.0</v>
      </c>
      <c r="F404" s="17" t="s">
        <v>578</v>
      </c>
      <c r="G404" s="8"/>
      <c r="H404" s="3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3"/>
      <c r="B405" s="1" t="s">
        <v>913</v>
      </c>
      <c r="C405" s="6" t="s">
        <v>914</v>
      </c>
      <c r="D405" s="6">
        <v>1.09453821255E11</v>
      </c>
      <c r="E405" s="6">
        <v>6612.0</v>
      </c>
      <c r="F405" s="6" t="s">
        <v>915</v>
      </c>
      <c r="G405" s="8"/>
      <c r="H405" s="3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9"/>
      <c r="B406" s="17" t="s">
        <v>916</v>
      </c>
      <c r="C406" s="6">
        <v>7.598974902E9</v>
      </c>
      <c r="D406" s="6">
        <v>1.20559630129E11</v>
      </c>
      <c r="E406" s="6">
        <v>699.0</v>
      </c>
      <c r="F406" s="6" t="s">
        <v>471</v>
      </c>
      <c r="G406" s="8"/>
      <c r="H406" s="3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9"/>
      <c r="B407" s="6" t="s">
        <v>917</v>
      </c>
      <c r="C407" s="6">
        <v>9.384180026E9</v>
      </c>
      <c r="D407" s="6">
        <v>5.79185864013E11</v>
      </c>
      <c r="E407" s="6">
        <v>699.0</v>
      </c>
      <c r="F407" s="6" t="s">
        <v>907</v>
      </c>
      <c r="G407" s="8"/>
      <c r="H407" s="3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9"/>
      <c r="B408" s="17" t="s">
        <v>918</v>
      </c>
      <c r="C408" s="6" t="s">
        <v>919</v>
      </c>
      <c r="D408" s="6">
        <v>6.45028532217E11</v>
      </c>
      <c r="E408" s="6">
        <v>699.0</v>
      </c>
      <c r="F408" s="6" t="s">
        <v>471</v>
      </c>
      <c r="G408" s="8"/>
      <c r="H408" s="3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9"/>
      <c r="B409" s="17" t="s">
        <v>920</v>
      </c>
      <c r="C409" s="6">
        <v>9.940121902E9</v>
      </c>
      <c r="D409" s="6">
        <v>1.09453965501E11</v>
      </c>
      <c r="E409" s="6">
        <v>699.0</v>
      </c>
      <c r="F409" s="6" t="s">
        <v>907</v>
      </c>
      <c r="G409" s="8"/>
      <c r="H409" s="3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"/>
      <c r="B410" s="17" t="s">
        <v>921</v>
      </c>
      <c r="C410" s="6" t="s">
        <v>922</v>
      </c>
      <c r="D410" s="6">
        <v>1.09453926768E11</v>
      </c>
      <c r="E410" s="6">
        <v>699.0</v>
      </c>
      <c r="F410" s="6" t="s">
        <v>471</v>
      </c>
      <c r="G410" s="8"/>
      <c r="H410" s="3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9"/>
      <c r="B411" s="17" t="s">
        <v>923</v>
      </c>
      <c r="C411" s="6">
        <v>9.940467163E9</v>
      </c>
      <c r="D411" s="6">
        <v>6.45093456807E11</v>
      </c>
      <c r="E411" s="6">
        <v>699.0</v>
      </c>
      <c r="F411" s="6" t="s">
        <v>471</v>
      </c>
      <c r="G411" s="8"/>
      <c r="H411" s="3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9"/>
      <c r="B412" s="6" t="s">
        <v>924</v>
      </c>
      <c r="C412" s="6">
        <v>9.072788557E9</v>
      </c>
      <c r="D412" s="6">
        <v>6.08443047092E11</v>
      </c>
      <c r="E412" s="6">
        <v>699.0</v>
      </c>
      <c r="F412" s="6" t="s">
        <v>471</v>
      </c>
      <c r="G412" s="8"/>
      <c r="H412" s="3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" t="s">
        <v>925</v>
      </c>
      <c r="B413" s="6" t="s">
        <v>926</v>
      </c>
      <c r="C413" s="6">
        <v>9.4713156129E10</v>
      </c>
      <c r="D413" s="6" t="s">
        <v>927</v>
      </c>
      <c r="E413" s="6">
        <v>400.0</v>
      </c>
      <c r="F413" s="6" t="s">
        <v>928</v>
      </c>
      <c r="G413" s="8"/>
      <c r="H413" s="3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9"/>
      <c r="B414" s="6" t="s">
        <v>929</v>
      </c>
      <c r="C414" s="6" t="s">
        <v>930</v>
      </c>
      <c r="D414" s="6">
        <v>6.084454476E11</v>
      </c>
      <c r="E414" s="6">
        <v>699.0</v>
      </c>
      <c r="F414" s="6" t="s">
        <v>931</v>
      </c>
      <c r="G414" s="8"/>
      <c r="H414" s="3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"/>
      <c r="B415" s="6" t="s">
        <v>932</v>
      </c>
      <c r="C415" s="6">
        <v>9.940310244E9</v>
      </c>
      <c r="D415" s="6">
        <v>6.08445690446E11</v>
      </c>
      <c r="E415" s="6">
        <v>699.0</v>
      </c>
      <c r="F415" s="17" t="s">
        <v>933</v>
      </c>
      <c r="G415" s="8"/>
      <c r="H415" s="3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9"/>
      <c r="B416" s="17" t="s">
        <v>934</v>
      </c>
      <c r="C416" s="6">
        <v>9.71588348879E11</v>
      </c>
      <c r="D416" s="6">
        <v>6.14317210189E11</v>
      </c>
      <c r="E416" s="6">
        <v>699.0</v>
      </c>
      <c r="F416" s="6" t="s">
        <v>625</v>
      </c>
      <c r="G416" s="8"/>
      <c r="H416" s="3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3"/>
      <c r="B417" s="17" t="s">
        <v>935</v>
      </c>
      <c r="C417" s="6">
        <v>9.894265037E9</v>
      </c>
      <c r="D417" s="6">
        <v>1.09454246013E11</v>
      </c>
      <c r="E417" s="6">
        <v>699.0</v>
      </c>
      <c r="F417" s="6" t="s">
        <v>578</v>
      </c>
      <c r="G417" s="8"/>
      <c r="H417" s="3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9"/>
      <c r="B418" s="6" t="s">
        <v>936</v>
      </c>
      <c r="C418" s="6">
        <f>919566784467</f>
        <v>919566784467</v>
      </c>
      <c r="D418" s="6">
        <v>6.45023450079E11</v>
      </c>
      <c r="E418" s="6">
        <v>699.0</v>
      </c>
      <c r="F418" s="6" t="s">
        <v>719</v>
      </c>
      <c r="G418" s="8"/>
      <c r="H418" s="3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1"/>
      <c r="B419" s="6" t="s">
        <v>937</v>
      </c>
      <c r="C419" s="6" t="s">
        <v>938</v>
      </c>
      <c r="D419" s="6"/>
      <c r="E419" s="6">
        <v>2100.0</v>
      </c>
      <c r="F419" s="6" t="s">
        <v>939</v>
      </c>
      <c r="G419" s="8"/>
      <c r="H419" s="3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"/>
      <c r="B420" s="6" t="s">
        <v>940</v>
      </c>
      <c r="C420" s="6">
        <v>7.708001242E9</v>
      </c>
      <c r="D420" s="6">
        <v>6.45028246316E11</v>
      </c>
      <c r="E420" s="6">
        <v>699.0</v>
      </c>
      <c r="F420" s="6" t="s">
        <v>625</v>
      </c>
      <c r="G420" s="8"/>
      <c r="H420" s="3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7"/>
      <c r="B421" s="17" t="s">
        <v>941</v>
      </c>
      <c r="C421" s="6">
        <v>9.894920667E9</v>
      </c>
      <c r="D421" s="17">
        <v>1.8990150917E11</v>
      </c>
      <c r="E421" s="6">
        <v>699.0</v>
      </c>
      <c r="F421" s="17" t="s">
        <v>806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53"/>
      <c r="B422" s="17" t="s">
        <v>942</v>
      </c>
      <c r="C422" s="17" t="s">
        <v>943</v>
      </c>
      <c r="D422" s="17">
        <v>1.09454358822E11</v>
      </c>
      <c r="E422" s="6">
        <v>699.0</v>
      </c>
      <c r="F422" s="6" t="s">
        <v>625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53"/>
      <c r="B423" s="17" t="s">
        <v>944</v>
      </c>
      <c r="C423" s="17">
        <v>8.072635207E9</v>
      </c>
      <c r="D423" s="17">
        <v>6.08448912142E11</v>
      </c>
      <c r="E423" s="6">
        <v>699.0</v>
      </c>
      <c r="F423" s="6" t="s">
        <v>907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53"/>
      <c r="B424" s="17" t="s">
        <v>945</v>
      </c>
      <c r="C424" s="17">
        <v>9.066635708E9</v>
      </c>
      <c r="D424" s="17">
        <v>6.45011966567E11</v>
      </c>
      <c r="E424" s="6">
        <v>699.0</v>
      </c>
      <c r="F424" s="6" t="s">
        <v>471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53"/>
      <c r="B425" s="17" t="s">
        <v>946</v>
      </c>
      <c r="C425" s="17">
        <v>9.944041881E9</v>
      </c>
      <c r="D425" s="17">
        <v>6.08469901743E11</v>
      </c>
      <c r="E425" s="6">
        <v>699.0</v>
      </c>
      <c r="F425" s="6" t="s">
        <v>471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53"/>
      <c r="B426" s="17" t="s">
        <v>947</v>
      </c>
      <c r="C426" s="17" t="s">
        <v>948</v>
      </c>
      <c r="D426" s="17">
        <v>1.20566707353E11</v>
      </c>
      <c r="E426" s="6">
        <v>699.0</v>
      </c>
      <c r="F426" s="6" t="s">
        <v>471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6"/>
      <c r="B427" s="17" t="s">
        <v>949</v>
      </c>
      <c r="C427" s="17">
        <v>9.629552756E9</v>
      </c>
      <c r="D427" s="17">
        <v>6.08448840567E11</v>
      </c>
      <c r="E427" s="6">
        <v>699.0</v>
      </c>
      <c r="F427" s="5" t="s">
        <v>578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62"/>
      <c r="B428" s="17" t="s">
        <v>950</v>
      </c>
      <c r="C428" s="17">
        <v>9.159227429E9</v>
      </c>
      <c r="D428" s="17">
        <v>1.20560076457E11</v>
      </c>
      <c r="E428" s="6">
        <v>699.0</v>
      </c>
      <c r="F428" s="6" t="s">
        <v>408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53"/>
      <c r="B429" s="6" t="s">
        <v>951</v>
      </c>
      <c r="C429" s="17" t="s">
        <v>952</v>
      </c>
      <c r="D429" s="6">
        <v>6.45007895949E11</v>
      </c>
      <c r="E429" s="6">
        <v>699.0</v>
      </c>
      <c r="F429" s="6" t="s">
        <v>408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53"/>
      <c r="B430" s="1" t="s">
        <v>953</v>
      </c>
      <c r="C430" s="17" t="s">
        <v>954</v>
      </c>
      <c r="D430" s="17">
        <v>6.08484207998E11</v>
      </c>
      <c r="E430" s="6">
        <v>699.0</v>
      </c>
      <c r="F430" s="17" t="s">
        <v>704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53"/>
      <c r="B431" s="17" t="s">
        <v>955</v>
      </c>
      <c r="C431" s="17">
        <v>9.789831817E9</v>
      </c>
      <c r="D431" s="17">
        <v>1.20564831393E11</v>
      </c>
      <c r="E431" s="6">
        <v>699.0</v>
      </c>
      <c r="F431" s="17" t="s">
        <v>704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53"/>
      <c r="B432" s="17" t="s">
        <v>956</v>
      </c>
      <c r="C432" s="17">
        <v>9.629141339E9</v>
      </c>
      <c r="D432" s="17">
        <v>6.45049764E11</v>
      </c>
      <c r="E432" s="6">
        <v>699.0</v>
      </c>
      <c r="F432" s="17" t="s">
        <v>704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53"/>
      <c r="B433" s="17" t="s">
        <v>957</v>
      </c>
      <c r="C433" s="17" t="s">
        <v>958</v>
      </c>
      <c r="D433" s="17">
        <v>6.45024258752E11</v>
      </c>
      <c r="E433" s="17">
        <v>1180.0</v>
      </c>
      <c r="F433" s="17" t="s">
        <v>959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53"/>
      <c r="B434" s="17" t="s">
        <v>960</v>
      </c>
      <c r="C434" s="17" t="s">
        <v>961</v>
      </c>
      <c r="D434" s="17">
        <v>6.45015261264E11</v>
      </c>
      <c r="E434" s="17">
        <v>699.0</v>
      </c>
      <c r="F434" s="17" t="s">
        <v>578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53"/>
      <c r="B435" s="17" t="s">
        <v>962</v>
      </c>
      <c r="C435" s="17" t="s">
        <v>963</v>
      </c>
      <c r="D435" s="17">
        <v>9.97859669338E11</v>
      </c>
      <c r="E435" s="17">
        <v>1503.0</v>
      </c>
      <c r="F435" s="17" t="s">
        <v>964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53"/>
      <c r="B436" s="63" t="s">
        <v>965</v>
      </c>
      <c r="C436" s="63">
        <v>9.629154507E9</v>
      </c>
      <c r="D436" s="63">
        <v>6.08457137829E11</v>
      </c>
      <c r="E436" s="63">
        <v>21000.0</v>
      </c>
      <c r="F436" s="63" t="s">
        <v>551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7" t="s">
        <v>966</v>
      </c>
      <c r="B437" s="17" t="s">
        <v>967</v>
      </c>
      <c r="C437" s="17" t="s">
        <v>968</v>
      </c>
      <c r="D437" s="17">
        <v>6.4514867935E11</v>
      </c>
      <c r="E437" s="17">
        <v>11220.0</v>
      </c>
      <c r="F437" s="17" t="s">
        <v>969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53"/>
      <c r="B438" s="1" t="s">
        <v>970</v>
      </c>
      <c r="C438" s="17" t="s">
        <v>971</v>
      </c>
      <c r="D438" s="17" t="s">
        <v>972</v>
      </c>
      <c r="E438" s="17">
        <v>9412.0</v>
      </c>
      <c r="F438" s="17" t="s">
        <v>973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53"/>
      <c r="B439" s="17" t="s">
        <v>974</v>
      </c>
      <c r="C439" s="17">
        <v>6.380887185E9</v>
      </c>
      <c r="D439" s="17">
        <v>6.08534005167E11</v>
      </c>
      <c r="E439" s="17">
        <v>3360.0</v>
      </c>
      <c r="F439" s="17" t="s">
        <v>196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53"/>
      <c r="B440" s="17" t="s">
        <v>975</v>
      </c>
      <c r="C440" s="17" t="s">
        <v>976</v>
      </c>
      <c r="D440" s="17">
        <v>6.08507428096E11</v>
      </c>
      <c r="E440" s="17">
        <v>699.0</v>
      </c>
      <c r="F440" s="17" t="s">
        <v>719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53"/>
      <c r="B441" s="17" t="s">
        <v>977</v>
      </c>
      <c r="C441" s="17">
        <v>9.943815665E9</v>
      </c>
      <c r="D441" s="17">
        <v>1.20597174056E11</v>
      </c>
      <c r="E441" s="17">
        <v>250.0</v>
      </c>
      <c r="F441" s="17" t="s">
        <v>978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53"/>
      <c r="B442" s="17" t="s">
        <v>979</v>
      </c>
      <c r="C442" s="17">
        <v>7.012766807E9</v>
      </c>
      <c r="D442" s="17">
        <v>1.20589233711E11</v>
      </c>
      <c r="E442" s="17">
        <v>1180.0</v>
      </c>
      <c r="F442" s="17" t="s">
        <v>112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53"/>
      <c r="B443" s="17" t="s">
        <v>980</v>
      </c>
      <c r="C443" s="17" t="s">
        <v>981</v>
      </c>
      <c r="D443" s="17">
        <v>6.08570716322E11</v>
      </c>
      <c r="E443" s="17">
        <v>3360.0</v>
      </c>
      <c r="F443" s="17" t="s">
        <v>982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6"/>
      <c r="B444" s="17" t="s">
        <v>983</v>
      </c>
      <c r="C444" s="17" t="s">
        <v>984</v>
      </c>
      <c r="D444" s="17">
        <v>1.09459685652E11</v>
      </c>
      <c r="E444" s="17">
        <v>1503.0</v>
      </c>
      <c r="F444" s="17" t="s">
        <v>985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53"/>
      <c r="B445" s="17" t="s">
        <v>986</v>
      </c>
      <c r="C445" s="17" t="s">
        <v>987</v>
      </c>
      <c r="D445" s="5">
        <v>6.08531328135E11</v>
      </c>
      <c r="E445" s="17">
        <v>699.0</v>
      </c>
      <c r="F445" s="17" t="s">
        <v>471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53"/>
      <c r="B446" s="17" t="s">
        <v>988</v>
      </c>
      <c r="C446" s="17">
        <v>9.566110833E9</v>
      </c>
      <c r="D446" s="17">
        <v>6.08557170252E11</v>
      </c>
      <c r="E446" s="17">
        <v>350.0</v>
      </c>
      <c r="F446" s="17" t="s">
        <v>989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7" t="s">
        <v>990</v>
      </c>
      <c r="B447" s="50" t="s">
        <v>991</v>
      </c>
      <c r="C447" s="50">
        <v>-8.870923031E9</v>
      </c>
      <c r="D447" s="50">
        <v>8.24372594308E11</v>
      </c>
      <c r="E447" s="50">
        <v>21000.0</v>
      </c>
      <c r="F447" s="50" t="s">
        <v>992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7"/>
      <c r="B448" s="17" t="s">
        <v>993</v>
      </c>
      <c r="C448" s="17" t="s">
        <v>994</v>
      </c>
      <c r="D448" s="17">
        <v>6.08523091023E11</v>
      </c>
      <c r="E448" s="17">
        <v>1000.0</v>
      </c>
      <c r="F448" s="17" t="s">
        <v>995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53"/>
      <c r="B449" s="17" t="s">
        <v>996</v>
      </c>
      <c r="C449" s="17">
        <v>8.110052055E9</v>
      </c>
      <c r="D449" s="17">
        <v>6.45268611802E11</v>
      </c>
      <c r="E449" s="17">
        <v>3360.0</v>
      </c>
      <c r="F449" s="17" t="s">
        <v>695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53"/>
      <c r="B450" s="17" t="s">
        <v>997</v>
      </c>
      <c r="C450" s="17">
        <v>7.339203984E9</v>
      </c>
      <c r="D450" s="17">
        <v>6.08672693806E11</v>
      </c>
      <c r="E450" s="17">
        <v>3150.0</v>
      </c>
      <c r="F450" s="17" t="s">
        <v>10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53"/>
      <c r="B451" s="17" t="s">
        <v>998</v>
      </c>
      <c r="C451" s="17">
        <v>9.042939548E9</v>
      </c>
      <c r="D451" s="17">
        <v>6.08622051867E11</v>
      </c>
      <c r="E451" s="17">
        <v>1180.0</v>
      </c>
      <c r="F451" s="17" t="s">
        <v>369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53"/>
      <c r="B452" s="17" t="s">
        <v>999</v>
      </c>
      <c r="C452" s="17" t="s">
        <v>1000</v>
      </c>
      <c r="D452" s="17">
        <v>6.08667275289E11</v>
      </c>
      <c r="E452" s="17">
        <v>1504.0</v>
      </c>
      <c r="F452" s="17" t="s">
        <v>1001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53"/>
      <c r="B453" s="50" t="s">
        <v>1002</v>
      </c>
      <c r="C453" s="50" t="s">
        <v>1003</v>
      </c>
      <c r="D453" s="50">
        <v>6.45294336873E11</v>
      </c>
      <c r="E453" s="50">
        <v>21000.0</v>
      </c>
      <c r="F453" s="50" t="s">
        <v>1004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53"/>
      <c r="B454" s="5" t="s">
        <v>1005</v>
      </c>
      <c r="C454" s="17" t="s">
        <v>1006</v>
      </c>
      <c r="D454" s="17">
        <v>1.09467521702E11</v>
      </c>
      <c r="E454" s="17">
        <v>3620.0</v>
      </c>
      <c r="F454" s="17" t="s">
        <v>1007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53"/>
      <c r="B455" s="17" t="s">
        <v>1008</v>
      </c>
      <c r="C455" s="17" t="s">
        <v>1009</v>
      </c>
      <c r="D455" s="17">
        <v>6.45211589361E11</v>
      </c>
      <c r="E455" s="17">
        <v>3150.0</v>
      </c>
      <c r="F455" s="17" t="s">
        <v>1010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53"/>
      <c r="B456" s="17" t="s">
        <v>1011</v>
      </c>
      <c r="C456" s="17">
        <v>9.786026064E9</v>
      </c>
      <c r="D456" s="17">
        <v>6.45205450326E11</v>
      </c>
      <c r="E456" s="17">
        <v>4008.0</v>
      </c>
      <c r="F456" s="17" t="s">
        <v>1012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7" t="s">
        <v>1013</v>
      </c>
      <c r="B457" s="17" t="s">
        <v>1014</v>
      </c>
      <c r="C457" s="17" t="s">
        <v>1015</v>
      </c>
      <c r="D457" s="17">
        <v>6.0879751807E11</v>
      </c>
      <c r="E457" s="17">
        <v>1180.0</v>
      </c>
      <c r="F457" s="17" t="s">
        <v>161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64"/>
      <c r="B458" s="17" t="s">
        <v>1016</v>
      </c>
      <c r="C458" s="17" t="s">
        <v>1017</v>
      </c>
      <c r="D458" s="17">
        <v>1.20685434727E11</v>
      </c>
      <c r="E458" s="17">
        <v>1050.0</v>
      </c>
      <c r="F458" s="17" t="s">
        <v>460</v>
      </c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53"/>
      <c r="B459" s="5" t="s">
        <v>1018</v>
      </c>
      <c r="C459" s="17" t="s">
        <v>1019</v>
      </c>
      <c r="D459" s="17">
        <v>1.09469946897E11</v>
      </c>
      <c r="E459" s="17">
        <v>2360.0</v>
      </c>
      <c r="F459" s="17" t="s">
        <v>302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6"/>
      <c r="B460" s="17" t="s">
        <v>1020</v>
      </c>
      <c r="C460" s="17" t="s">
        <v>1021</v>
      </c>
      <c r="D460" s="17">
        <v>3.07927434981E11</v>
      </c>
      <c r="E460" s="17">
        <v>1503.0</v>
      </c>
      <c r="F460" s="17" t="s">
        <v>1022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53"/>
      <c r="B461" s="17" t="s">
        <v>1023</v>
      </c>
      <c r="C461" s="17" t="s">
        <v>1024</v>
      </c>
      <c r="D461" s="17">
        <v>6.45339454974E11</v>
      </c>
      <c r="E461" s="17">
        <v>3150.0</v>
      </c>
      <c r="F461" s="17" t="s">
        <v>557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53"/>
      <c r="B462" s="17" t="s">
        <v>1025</v>
      </c>
      <c r="C462" s="17">
        <v>9.025065342E9</v>
      </c>
      <c r="D462" s="17">
        <v>1.20689676052E11</v>
      </c>
      <c r="E462" s="17">
        <v>3150.0</v>
      </c>
      <c r="F462" s="17" t="s">
        <v>43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53"/>
      <c r="B463" s="1" t="s">
        <v>1026</v>
      </c>
      <c r="C463" s="17">
        <v>9.731533665E9</v>
      </c>
      <c r="D463" s="17">
        <v>6.45311183441E11</v>
      </c>
      <c r="E463" s="17">
        <v>3150.0</v>
      </c>
      <c r="F463" s="17" t="s">
        <v>43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53"/>
      <c r="B464" s="1" t="s">
        <v>1027</v>
      </c>
      <c r="C464" s="17" t="s">
        <v>1028</v>
      </c>
      <c r="D464" s="17">
        <v>1.09461214318E11</v>
      </c>
      <c r="E464" s="17">
        <v>8016.0</v>
      </c>
      <c r="F464" s="17" t="s">
        <v>1029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53"/>
      <c r="B465" s="17" t="s">
        <v>480</v>
      </c>
      <c r="C465" s="17" t="s">
        <v>1030</v>
      </c>
      <c r="D465" s="17">
        <v>6.08739606525E11</v>
      </c>
      <c r="E465" s="17">
        <v>2607.0</v>
      </c>
      <c r="F465" s="17" t="s">
        <v>1031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7"/>
      <c r="B466" s="17" t="s">
        <v>1032</v>
      </c>
      <c r="C466" s="17" t="s">
        <v>1033</v>
      </c>
      <c r="D466" s="17">
        <v>6.08798800806E11</v>
      </c>
      <c r="E466" s="17">
        <v>1680.0</v>
      </c>
      <c r="F466" s="17" t="s">
        <v>1034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53"/>
      <c r="B467" s="17" t="s">
        <v>1035</v>
      </c>
      <c r="C467" s="17" t="s">
        <v>1036</v>
      </c>
      <c r="D467" s="17">
        <v>6.08718888818E11</v>
      </c>
      <c r="E467" s="17">
        <v>2004.0</v>
      </c>
      <c r="F467" s="17" t="s">
        <v>1037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7"/>
      <c r="B468" s="50" t="s">
        <v>1038</v>
      </c>
      <c r="C468" s="50" t="s">
        <v>1039</v>
      </c>
      <c r="D468" s="50"/>
      <c r="E468" s="50">
        <v>27400.0</v>
      </c>
      <c r="F468" s="50" t="s">
        <v>1040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53"/>
      <c r="B469" s="17" t="s">
        <v>1041</v>
      </c>
      <c r="C469" s="17" t="s">
        <v>1042</v>
      </c>
      <c r="D469" s="17">
        <v>6.08724593923E11</v>
      </c>
      <c r="E469" s="17">
        <v>3360.0</v>
      </c>
      <c r="F469" s="17" t="s">
        <v>576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53"/>
      <c r="B470" s="17" t="s">
        <v>1043</v>
      </c>
      <c r="C470" s="17">
        <v>9.092855566E9</v>
      </c>
      <c r="D470" s="17">
        <v>8.9748122178E11</v>
      </c>
      <c r="E470" s="17">
        <v>3360.0</v>
      </c>
      <c r="F470" s="17" t="s">
        <v>189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53"/>
      <c r="B471" s="17" t="s">
        <v>1044</v>
      </c>
      <c r="C471" s="17" t="s">
        <v>1045</v>
      </c>
      <c r="D471" s="17">
        <v>1.20708655351E11</v>
      </c>
      <c r="E471" s="17">
        <v>1503.0</v>
      </c>
      <c r="F471" s="17" t="s">
        <v>1046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7"/>
      <c r="B472" s="5" t="s">
        <v>1047</v>
      </c>
      <c r="C472" s="17" t="s">
        <v>1048</v>
      </c>
      <c r="D472" s="17">
        <v>1.20710613716E11</v>
      </c>
      <c r="E472" s="17">
        <v>1503.0</v>
      </c>
      <c r="F472" s="17" t="s">
        <v>1049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53"/>
      <c r="B473" s="5" t="s">
        <v>1050</v>
      </c>
      <c r="C473" s="17" t="s">
        <v>1051</v>
      </c>
      <c r="D473" s="66"/>
      <c r="E473" s="66">
        <v>4500.0</v>
      </c>
      <c r="F473" s="66" t="s">
        <v>1052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7" t="s">
        <v>1053</v>
      </c>
      <c r="B474" s="5" t="s">
        <v>1054</v>
      </c>
      <c r="C474" s="17">
        <v>9.965152754E9</v>
      </c>
      <c r="D474" s="17">
        <v>6.08802551069E11</v>
      </c>
      <c r="E474" s="17">
        <v>3150.0</v>
      </c>
      <c r="F474" s="17" t="s">
        <v>1055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53"/>
      <c r="B475" s="50" t="s">
        <v>1056</v>
      </c>
      <c r="C475" s="50">
        <v>9.841149415E9</v>
      </c>
      <c r="D475" s="50">
        <v>6.08888241824E11</v>
      </c>
      <c r="E475" s="50">
        <v>21000.0</v>
      </c>
      <c r="F475" s="50" t="s">
        <v>1057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7"/>
      <c r="B476" s="6" t="s">
        <v>845</v>
      </c>
      <c r="C476" s="6" t="s">
        <v>1058</v>
      </c>
      <c r="D476" s="7">
        <v>6.08887233047E11</v>
      </c>
      <c r="E476" s="6">
        <v>3360.0</v>
      </c>
      <c r="F476" s="6" t="s">
        <v>189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53"/>
      <c r="B477" s="17" t="s">
        <v>1059</v>
      </c>
      <c r="C477" s="17" t="s">
        <v>1060</v>
      </c>
      <c r="D477" s="17">
        <v>6.08812938607E11</v>
      </c>
      <c r="E477" s="17">
        <v>1180.0</v>
      </c>
      <c r="F477" s="17" t="s">
        <v>1061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7"/>
      <c r="B478" s="17" t="s">
        <v>1062</v>
      </c>
      <c r="C478" s="17">
        <v>9.653293238E9</v>
      </c>
      <c r="D478" s="17">
        <v>6.08887227756E11</v>
      </c>
      <c r="E478" s="17">
        <v>1180.0</v>
      </c>
      <c r="F478" s="17" t="s">
        <v>959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53"/>
      <c r="B479" s="17" t="s">
        <v>1063</v>
      </c>
      <c r="C479" s="17" t="s">
        <v>1064</v>
      </c>
      <c r="D479" s="17">
        <v>6.08817797853E11</v>
      </c>
      <c r="E479" s="17">
        <v>2004.0</v>
      </c>
      <c r="F479" s="17" t="s">
        <v>1065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53"/>
      <c r="B480" s="17" t="s">
        <v>1066</v>
      </c>
      <c r="C480" s="17">
        <v>9.790762505E9</v>
      </c>
      <c r="D480" s="17">
        <v>6.08883985955E11</v>
      </c>
      <c r="E480" s="17">
        <v>3150.0</v>
      </c>
      <c r="F480" s="17" t="s">
        <v>61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53"/>
      <c r="B481" s="50" t="s">
        <v>1067</v>
      </c>
      <c r="C481" s="50" t="s">
        <v>1068</v>
      </c>
      <c r="D481" s="50">
        <v>6.08808170064E11</v>
      </c>
      <c r="E481" s="50">
        <v>21000.0</v>
      </c>
      <c r="F481" s="50" t="s">
        <v>434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7" t="s">
        <v>1069</v>
      </c>
      <c r="B482" s="56" t="s">
        <v>1070</v>
      </c>
      <c r="C482" s="50">
        <v>8.07254008E9</v>
      </c>
      <c r="D482" s="50">
        <v>6.08907096008E11</v>
      </c>
      <c r="E482" s="50">
        <v>21000.0</v>
      </c>
      <c r="F482" s="50" t="s">
        <v>992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53"/>
      <c r="B483" s="17" t="s">
        <v>1071</v>
      </c>
      <c r="C483" s="17">
        <v>8.610772891E9</v>
      </c>
      <c r="D483" s="17">
        <v>6.0896109633E11</v>
      </c>
      <c r="E483" s="17">
        <v>3006.0</v>
      </c>
      <c r="F483" s="17" t="s">
        <v>1072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53"/>
      <c r="B484" s="50" t="s">
        <v>1073</v>
      </c>
      <c r="C484" s="50" t="s">
        <v>1074</v>
      </c>
      <c r="D484" s="50">
        <v>6.089355448E9</v>
      </c>
      <c r="E484" s="50">
        <v>21000.0</v>
      </c>
      <c r="F484" s="50" t="s">
        <v>434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53"/>
      <c r="B485" s="17" t="s">
        <v>1075</v>
      </c>
      <c r="C485" s="17" t="s">
        <v>1076</v>
      </c>
      <c r="D485" s="17">
        <v>1.20740065476E11</v>
      </c>
      <c r="E485" s="17">
        <v>3360.0</v>
      </c>
      <c r="F485" s="17" t="s">
        <v>770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53"/>
      <c r="B486" s="17" t="s">
        <v>1077</v>
      </c>
      <c r="C486" s="17">
        <v>9.19442584031E11</v>
      </c>
      <c r="D486" s="17">
        <v>6.08721774391E11</v>
      </c>
      <c r="E486" s="17">
        <v>3150.0</v>
      </c>
      <c r="F486" s="17" t="s">
        <v>61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7"/>
      <c r="B487" s="17" t="s">
        <v>1078</v>
      </c>
      <c r="C487" s="17" t="s">
        <v>1079</v>
      </c>
      <c r="D487" s="17">
        <v>6.45585721815E11</v>
      </c>
      <c r="E487" s="17">
        <v>3150.0</v>
      </c>
      <c r="F487" s="17" t="s">
        <v>1080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53"/>
      <c r="B488" s="17" t="s">
        <v>1081</v>
      </c>
      <c r="C488" s="17">
        <v>8.344619545E9</v>
      </c>
      <c r="D488" s="17">
        <v>6.08803093976E11</v>
      </c>
      <c r="E488" s="17">
        <v>3150.0</v>
      </c>
      <c r="F488" s="17" t="s">
        <v>63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53"/>
      <c r="B489" s="17" t="s">
        <v>1082</v>
      </c>
      <c r="C489" s="17" t="s">
        <v>1083</v>
      </c>
      <c r="D489" s="17">
        <v>6.45548503283E11</v>
      </c>
      <c r="E489" s="17">
        <v>3150.0</v>
      </c>
      <c r="F489" s="17" t="s">
        <v>54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53"/>
      <c r="B490" s="50" t="s">
        <v>1084</v>
      </c>
      <c r="C490" s="50" t="s">
        <v>706</v>
      </c>
      <c r="D490" s="50">
        <v>6.45526221939E11</v>
      </c>
      <c r="E490" s="50">
        <v>21000.0</v>
      </c>
      <c r="F490" s="50" t="s">
        <v>1085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7"/>
      <c r="B491" s="17" t="s">
        <v>1086</v>
      </c>
      <c r="C491" s="17">
        <v>9.486767675E9</v>
      </c>
      <c r="D491" s="17">
        <v>6.08936637321E11</v>
      </c>
      <c r="E491" s="17">
        <v>3360.0</v>
      </c>
      <c r="F491" s="17" t="s">
        <v>1087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53"/>
      <c r="B492" s="17" t="s">
        <v>1088</v>
      </c>
      <c r="C492" s="17">
        <v>9.15051243E9</v>
      </c>
      <c r="D492" s="17">
        <v>6.45537369913E11</v>
      </c>
      <c r="E492" s="17">
        <v>3150.0</v>
      </c>
      <c r="F492" s="17" t="s">
        <v>10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53"/>
      <c r="B493" s="17" t="s">
        <v>1089</v>
      </c>
      <c r="C493" s="17">
        <v>8.05612033E9</v>
      </c>
      <c r="D493" s="17">
        <v>8.98636791089E11</v>
      </c>
      <c r="E493" s="17">
        <v>1180.0</v>
      </c>
      <c r="F493" s="17" t="s">
        <v>161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7"/>
      <c r="B494" s="17" t="s">
        <v>1090</v>
      </c>
      <c r="C494" s="17" t="s">
        <v>1091</v>
      </c>
      <c r="D494" s="17">
        <v>6.45500222198E11</v>
      </c>
      <c r="E494" s="17">
        <v>3150.0</v>
      </c>
      <c r="F494" s="17" t="s">
        <v>26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22.5" customHeight="1">
      <c r="A495" s="17" t="s">
        <v>1092</v>
      </c>
      <c r="B495" s="17" t="s">
        <v>1093</v>
      </c>
      <c r="C495" s="17" t="s">
        <v>1094</v>
      </c>
      <c r="D495" s="17">
        <v>6.08935952213E11</v>
      </c>
      <c r="E495" s="17">
        <v>3160.0</v>
      </c>
      <c r="F495" s="17" t="s">
        <v>1095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53"/>
      <c r="B496" s="50" t="s">
        <v>1096</v>
      </c>
      <c r="C496" s="50">
        <v>9.79086212E9</v>
      </c>
      <c r="D496" s="50">
        <v>1.20818327913E11</v>
      </c>
      <c r="E496" s="50">
        <v>21000.0</v>
      </c>
      <c r="F496" s="50" t="s">
        <v>725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53"/>
      <c r="B497" s="17" t="s">
        <v>1097</v>
      </c>
      <c r="C497" s="1" t="s">
        <v>1098</v>
      </c>
      <c r="D497" s="17">
        <v>6.45557295934E11</v>
      </c>
      <c r="E497" s="17">
        <v>1503.0</v>
      </c>
      <c r="F497" s="17" t="s">
        <v>1099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53"/>
      <c r="B498" s="17" t="s">
        <v>1100</v>
      </c>
      <c r="C498" s="17" t="s">
        <v>1101</v>
      </c>
      <c r="D498" s="17">
        <v>2.10757873967E11</v>
      </c>
      <c r="E498" s="17">
        <v>3150.0</v>
      </c>
      <c r="F498" s="17" t="s">
        <v>29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53"/>
      <c r="B499" s="17" t="s">
        <v>1102</v>
      </c>
      <c r="C499" s="17" t="s">
        <v>1103</v>
      </c>
      <c r="D499" s="17">
        <v>1.20826863737E11</v>
      </c>
      <c r="E499" s="17">
        <v>3150.0</v>
      </c>
      <c r="F499" s="17" t="s">
        <v>1104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7" t="s">
        <v>1105</v>
      </c>
      <c r="B500" s="17" t="s">
        <v>1106</v>
      </c>
      <c r="C500" s="17" t="s">
        <v>1107</v>
      </c>
      <c r="D500" s="17">
        <v>6.09008318538E11</v>
      </c>
      <c r="E500" s="17">
        <v>3150.0</v>
      </c>
      <c r="F500" s="17" t="s">
        <v>43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7"/>
      <c r="B501" s="58" t="s">
        <v>1108</v>
      </c>
      <c r="C501" s="50" t="s">
        <v>1109</v>
      </c>
      <c r="D501" s="50">
        <v>6.0907982519E11</v>
      </c>
      <c r="E501" s="50">
        <v>21000.0</v>
      </c>
      <c r="F501" s="50" t="s">
        <v>1057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6"/>
      <c r="B502" s="17" t="s">
        <v>742</v>
      </c>
      <c r="C502" s="17" t="s">
        <v>1110</v>
      </c>
      <c r="D502" s="17">
        <v>6.45640394223E11</v>
      </c>
      <c r="E502" s="17">
        <v>1999.0</v>
      </c>
      <c r="F502" s="17" t="s">
        <v>1111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53"/>
      <c r="B503" s="17" t="s">
        <v>1112</v>
      </c>
      <c r="C503" s="17" t="s">
        <v>1113</v>
      </c>
      <c r="D503" s="17">
        <v>6.09021636451E11</v>
      </c>
      <c r="E503" s="17">
        <v>4806.0</v>
      </c>
      <c r="F503" s="17" t="s">
        <v>1114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53"/>
      <c r="B504" s="17" t="s">
        <v>1115</v>
      </c>
      <c r="C504" s="17">
        <v>8.489555161E9</v>
      </c>
      <c r="D504" s="17">
        <v>6.09093485281E11</v>
      </c>
      <c r="E504" s="17">
        <v>1503.0</v>
      </c>
      <c r="F504" s="17" t="s">
        <v>1116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67"/>
      <c r="B505" s="17" t="s">
        <v>1117</v>
      </c>
      <c r="C505" s="17">
        <v>9.043304185E9</v>
      </c>
      <c r="D505" s="17">
        <v>6.45636790551E11</v>
      </c>
      <c r="E505" s="17">
        <v>3150.0</v>
      </c>
      <c r="F505" s="17" t="s">
        <v>43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7"/>
      <c r="B506" s="17" t="s">
        <v>1118</v>
      </c>
      <c r="C506" s="17">
        <v>9.514852692E9</v>
      </c>
      <c r="D506" s="17">
        <v>6.45602090366E11</v>
      </c>
      <c r="E506" s="17">
        <v>3150.0</v>
      </c>
      <c r="F506" s="17" t="s">
        <v>10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53"/>
      <c r="B507" s="17" t="s">
        <v>1119</v>
      </c>
      <c r="C507" s="17" t="s">
        <v>1120</v>
      </c>
      <c r="D507" s="17">
        <v>6.09001667482E11</v>
      </c>
      <c r="E507" s="17">
        <v>1180.0</v>
      </c>
      <c r="F507" s="17" t="s">
        <v>1121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53"/>
      <c r="B508" s="17" t="s">
        <v>97</v>
      </c>
      <c r="C508" s="17" t="s">
        <v>98</v>
      </c>
      <c r="D508" s="17"/>
      <c r="E508" s="17">
        <v>630.0</v>
      </c>
      <c r="F508" s="17" t="s">
        <v>1122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53"/>
      <c r="B509" s="17" t="s">
        <v>1123</v>
      </c>
      <c r="C509" s="17" t="s">
        <v>1124</v>
      </c>
      <c r="D509" s="17">
        <v>1.20855352005E11</v>
      </c>
      <c r="E509" s="17">
        <v>3150.0</v>
      </c>
      <c r="F509" s="17" t="s">
        <v>61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53"/>
      <c r="B510" s="17" t="s">
        <v>1125</v>
      </c>
      <c r="C510" s="17" t="s">
        <v>1126</v>
      </c>
      <c r="D510" s="17">
        <v>6.0901677945E11</v>
      </c>
      <c r="E510" s="17">
        <v>3150.0</v>
      </c>
      <c r="F510" s="17" t="s">
        <v>43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7" t="s">
        <v>1127</v>
      </c>
      <c r="B511" s="17" t="s">
        <v>1128</v>
      </c>
      <c r="C511" s="17" t="s">
        <v>1129</v>
      </c>
      <c r="D511" s="17">
        <v>6.09087555914E11</v>
      </c>
      <c r="E511" s="17">
        <v>2000.0</v>
      </c>
      <c r="F511" s="1" t="s">
        <v>1130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53"/>
      <c r="B512" s="1" t="s">
        <v>1131</v>
      </c>
      <c r="C512" s="17">
        <v>8.925408163E9</v>
      </c>
      <c r="D512" s="17">
        <v>8.54060807676E11</v>
      </c>
      <c r="E512" s="17">
        <v>3150.0</v>
      </c>
      <c r="F512" s="17" t="s">
        <v>29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53"/>
      <c r="B513" s="17" t="s">
        <v>1132</v>
      </c>
      <c r="C513" s="17" t="s">
        <v>1133</v>
      </c>
      <c r="D513" s="17">
        <v>6.09023948678E11</v>
      </c>
      <c r="E513" s="17">
        <v>1620.0</v>
      </c>
      <c r="F513" s="17" t="s">
        <v>1134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53"/>
      <c r="C514" s="17"/>
      <c r="D514" s="17"/>
      <c r="E514" s="17"/>
      <c r="F514" s="17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53"/>
      <c r="B515" s="17"/>
      <c r="C515" s="17"/>
      <c r="D515" s="17"/>
      <c r="E515" s="17"/>
      <c r="F515" s="17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53"/>
      <c r="B516" s="17"/>
      <c r="C516" s="17"/>
      <c r="D516" s="17"/>
      <c r="E516" s="17"/>
      <c r="F516" s="17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53"/>
      <c r="B517" s="17"/>
      <c r="C517" s="17"/>
      <c r="D517" s="17"/>
      <c r="E517" s="17"/>
      <c r="F517" s="17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53"/>
      <c r="B518" s="17"/>
      <c r="C518" s="17"/>
      <c r="D518" s="17"/>
      <c r="E518" s="17"/>
      <c r="F518" s="17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53"/>
      <c r="B519" s="17"/>
      <c r="C519" s="17"/>
      <c r="D519" s="17"/>
      <c r="E519" s="17"/>
      <c r="F519" s="17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53"/>
      <c r="B520" s="17"/>
      <c r="C520" s="17"/>
      <c r="D520" s="17"/>
      <c r="E520" s="17"/>
      <c r="F520" s="17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53"/>
      <c r="B521" s="17"/>
      <c r="C521" s="17"/>
      <c r="D521" s="17"/>
      <c r="E521" s="17"/>
      <c r="F521" s="17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53"/>
      <c r="B522" s="17"/>
      <c r="C522" s="17"/>
      <c r="D522" s="17"/>
      <c r="E522" s="17"/>
      <c r="F522" s="17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53"/>
      <c r="B523" s="17"/>
      <c r="C523" s="17"/>
      <c r="D523" s="17"/>
      <c r="E523" s="17"/>
      <c r="F523" s="17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53"/>
      <c r="B524" s="17"/>
      <c r="C524" s="17"/>
      <c r="D524" s="17"/>
      <c r="E524" s="17"/>
      <c r="F524" s="17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53"/>
      <c r="B525" s="17"/>
      <c r="C525" s="17"/>
      <c r="D525" s="17"/>
      <c r="E525" s="17"/>
      <c r="F525" s="17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53"/>
      <c r="B526" s="17"/>
      <c r="C526" s="17"/>
      <c r="D526" s="17"/>
      <c r="E526" s="17"/>
      <c r="F526" s="17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53"/>
      <c r="B527" s="17"/>
      <c r="C527" s="17"/>
      <c r="D527" s="17"/>
      <c r="E527" s="17"/>
      <c r="F527" s="17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53"/>
      <c r="B528" s="17"/>
      <c r="C528" s="17"/>
      <c r="D528" s="17"/>
      <c r="E528" s="17"/>
      <c r="F528" s="17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53"/>
      <c r="B529" s="17"/>
      <c r="C529" s="17"/>
      <c r="D529" s="17"/>
      <c r="E529" s="17"/>
      <c r="F529" s="17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53"/>
      <c r="B530" s="17"/>
      <c r="C530" s="17"/>
      <c r="D530" s="68"/>
      <c r="E530" s="17"/>
      <c r="F530" s="17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53"/>
      <c r="B531" s="17"/>
      <c r="C531" s="17"/>
      <c r="D531" s="66"/>
      <c r="E531" s="17"/>
      <c r="F531" s="17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53"/>
      <c r="B532" s="17"/>
      <c r="C532" s="17"/>
      <c r="D532" s="68"/>
      <c r="E532" s="17"/>
      <c r="F532" s="17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53"/>
      <c r="B533" s="17"/>
      <c r="C533" s="17"/>
      <c r="D533" s="17"/>
      <c r="E533" s="17"/>
      <c r="F533" s="17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53"/>
      <c r="B534" s="17"/>
      <c r="C534" s="17"/>
      <c r="D534" s="17"/>
      <c r="E534" s="17"/>
      <c r="F534" s="17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53"/>
      <c r="B535" s="62"/>
      <c r="C535" s="62"/>
      <c r="D535" s="68"/>
      <c r="E535" s="17"/>
      <c r="F535" s="17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6"/>
      <c r="B536" s="17"/>
      <c r="C536" s="17"/>
      <c r="D536" s="17"/>
      <c r="E536" s="17"/>
      <c r="F536" s="17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53"/>
      <c r="B537" s="17"/>
      <c r="C537" s="17"/>
      <c r="D537" s="17"/>
      <c r="E537" s="17"/>
      <c r="F537" s="17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53"/>
      <c r="B538" s="17"/>
      <c r="C538" s="17"/>
      <c r="D538" s="17"/>
      <c r="E538" s="17"/>
      <c r="F538" s="17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53"/>
      <c r="B539" s="17"/>
      <c r="C539" s="17"/>
      <c r="D539" s="17"/>
      <c r="E539" s="17"/>
      <c r="F539" s="17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53"/>
      <c r="B540" s="17"/>
      <c r="C540" s="17"/>
      <c r="D540" s="17"/>
      <c r="E540" s="17"/>
      <c r="F540" s="17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53"/>
      <c r="B541" s="17"/>
      <c r="C541" s="17"/>
      <c r="D541" s="17"/>
      <c r="E541" s="17"/>
      <c r="F541" s="17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53"/>
      <c r="B542" s="17"/>
      <c r="C542" s="17"/>
      <c r="D542" s="17"/>
      <c r="E542" s="17"/>
      <c r="F542" s="17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53"/>
      <c r="B543" s="17"/>
      <c r="C543" s="17"/>
      <c r="D543" s="17"/>
      <c r="E543" s="17"/>
      <c r="F543" s="17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53"/>
      <c r="B544" s="17"/>
      <c r="C544" s="17"/>
      <c r="D544" s="17"/>
      <c r="E544" s="17"/>
      <c r="F544" s="17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67"/>
      <c r="B545" s="17"/>
      <c r="C545" s="17"/>
      <c r="D545" s="17"/>
      <c r="E545" s="17"/>
      <c r="F545" s="17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53"/>
      <c r="B546" s="17"/>
      <c r="C546" s="17"/>
      <c r="D546" s="17"/>
      <c r="E546" s="17"/>
      <c r="F546" s="17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53"/>
      <c r="B547" s="17"/>
      <c r="C547" s="17"/>
      <c r="D547" s="17"/>
      <c r="E547" s="17"/>
      <c r="F547" s="17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53"/>
      <c r="B548" s="17"/>
      <c r="C548" s="17"/>
      <c r="D548" s="17"/>
      <c r="E548" s="17"/>
      <c r="F548" s="17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53"/>
      <c r="B549" s="17"/>
      <c r="C549" s="17"/>
      <c r="D549" s="17"/>
      <c r="E549" s="17"/>
      <c r="F549" s="17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53"/>
      <c r="B550" s="17"/>
      <c r="C550" s="17"/>
      <c r="D550" s="17"/>
      <c r="E550" s="17"/>
      <c r="F550" s="17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53"/>
      <c r="B551" s="17"/>
      <c r="C551" s="17"/>
      <c r="D551" s="17"/>
      <c r="E551" s="17"/>
      <c r="F551" s="17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53"/>
      <c r="B552" s="17"/>
      <c r="C552" s="17"/>
      <c r="D552" s="17"/>
      <c r="E552" s="17"/>
      <c r="F552" s="17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64"/>
      <c r="B553" s="62"/>
      <c r="C553" s="62"/>
      <c r="D553" s="64"/>
      <c r="E553" s="62"/>
      <c r="F553" s="62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53"/>
      <c r="B554" s="17"/>
      <c r="C554" s="53"/>
      <c r="D554" s="17"/>
      <c r="E554" s="17"/>
      <c r="F554" s="17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53"/>
      <c r="B555" s="17"/>
      <c r="C555" s="17"/>
      <c r="D555" s="17"/>
      <c r="E555" s="17"/>
      <c r="F555" s="17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53"/>
      <c r="B556" s="17"/>
      <c r="C556" s="17"/>
      <c r="D556" s="17"/>
      <c r="E556" s="17"/>
      <c r="F556" s="17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53"/>
      <c r="B557" s="17"/>
      <c r="C557" s="17"/>
      <c r="D557" s="17"/>
      <c r="E557" s="17"/>
      <c r="F557" s="17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53"/>
      <c r="B558" s="17"/>
      <c r="C558" s="17"/>
      <c r="D558" s="17"/>
      <c r="E558" s="17"/>
      <c r="F558" s="17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53"/>
      <c r="B559" s="17"/>
      <c r="C559" s="17"/>
      <c r="D559" s="17"/>
      <c r="E559" s="17"/>
      <c r="F559" s="17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53"/>
      <c r="B560" s="17"/>
      <c r="C560" s="17"/>
      <c r="D560" s="17"/>
      <c r="E560" s="17"/>
      <c r="F560" s="17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53"/>
      <c r="B561" s="17"/>
      <c r="C561" s="17"/>
      <c r="D561" s="17"/>
      <c r="E561" s="17"/>
      <c r="F561" s="17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53"/>
      <c r="B562" s="17"/>
      <c r="C562" s="17"/>
      <c r="D562" s="17"/>
      <c r="E562" s="17"/>
      <c r="F562" s="17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53"/>
      <c r="B563" s="17"/>
      <c r="C563" s="17"/>
      <c r="D563" s="17"/>
      <c r="E563" s="17"/>
      <c r="F563" s="17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53"/>
      <c r="B564" s="17"/>
      <c r="C564" s="17"/>
      <c r="D564" s="17"/>
      <c r="E564" s="17"/>
      <c r="F564" s="17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53"/>
      <c r="B565" s="17"/>
      <c r="C565" s="17"/>
      <c r="D565" s="17"/>
      <c r="E565" s="17"/>
      <c r="F565" s="17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53"/>
      <c r="B566" s="17"/>
      <c r="C566" s="17"/>
      <c r="D566" s="17"/>
      <c r="E566" s="17"/>
      <c r="F566" s="17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53"/>
      <c r="B567" s="17"/>
      <c r="C567" s="17"/>
      <c r="D567" s="17"/>
      <c r="E567" s="17"/>
      <c r="F567" s="17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53"/>
      <c r="B568" s="17"/>
      <c r="C568" s="17"/>
      <c r="D568" s="17"/>
      <c r="E568" s="17"/>
      <c r="F568" s="17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53"/>
      <c r="B569" s="17"/>
      <c r="C569" s="17"/>
      <c r="D569" s="17"/>
      <c r="E569" s="17"/>
      <c r="F569" s="17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53"/>
      <c r="B570" s="17"/>
      <c r="C570" s="17"/>
      <c r="D570" s="17"/>
      <c r="E570" s="17"/>
      <c r="F570" s="17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53"/>
      <c r="B571" s="17"/>
      <c r="C571" s="17"/>
      <c r="D571" s="17"/>
      <c r="E571" s="17"/>
      <c r="F571" s="17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53"/>
      <c r="B572" s="17"/>
      <c r="C572" s="17"/>
      <c r="D572" s="17"/>
      <c r="E572" s="17"/>
      <c r="F572" s="17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53"/>
      <c r="B573" s="17"/>
      <c r="C573" s="17"/>
      <c r="D573" s="17"/>
      <c r="E573" s="17"/>
      <c r="F573" s="17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69"/>
      <c r="B574" s="17"/>
      <c r="C574" s="17"/>
      <c r="D574" s="17"/>
      <c r="E574" s="17"/>
      <c r="F574" s="17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6"/>
      <c r="B575" s="17"/>
      <c r="C575" s="17"/>
      <c r="D575" s="17"/>
      <c r="E575" s="17"/>
      <c r="F575" s="17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53"/>
      <c r="B576" s="17"/>
      <c r="C576" s="17"/>
      <c r="D576" s="17"/>
      <c r="E576" s="17"/>
      <c r="F576" s="17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53"/>
      <c r="B577" s="17"/>
      <c r="C577" s="17"/>
      <c r="D577" s="17"/>
      <c r="E577" s="17"/>
      <c r="F577" s="17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53"/>
      <c r="B578" s="17"/>
      <c r="C578" s="17"/>
      <c r="D578" s="17"/>
      <c r="E578" s="17"/>
      <c r="F578" s="17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53"/>
      <c r="B579" s="17"/>
      <c r="C579" s="17"/>
      <c r="D579" s="17"/>
      <c r="E579" s="17"/>
      <c r="F579" s="17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53"/>
      <c r="B580" s="17"/>
      <c r="C580" s="17"/>
      <c r="D580" s="17"/>
      <c r="E580" s="17"/>
      <c r="F580" s="17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53"/>
      <c r="B581" s="17"/>
      <c r="C581" s="17"/>
      <c r="D581" s="17"/>
      <c r="E581" s="17"/>
      <c r="F581" s="17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53"/>
      <c r="B582" s="17"/>
      <c r="C582" s="17"/>
      <c r="D582" s="17"/>
      <c r="E582" s="17"/>
      <c r="F582" s="17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53"/>
      <c r="B583" s="17"/>
      <c r="C583" s="17"/>
      <c r="D583" s="17"/>
      <c r="E583" s="17"/>
      <c r="F583" s="17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53"/>
      <c r="B584" s="17"/>
      <c r="C584" s="17"/>
      <c r="D584" s="17"/>
      <c r="E584" s="17"/>
      <c r="F584" s="17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53"/>
      <c r="B585" s="17"/>
      <c r="C585" s="17"/>
      <c r="D585" s="17"/>
      <c r="E585" s="17"/>
      <c r="F585" s="17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53"/>
      <c r="B586" s="17"/>
      <c r="C586" s="17"/>
      <c r="D586" s="17"/>
      <c r="E586" s="17"/>
      <c r="F586" s="17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53"/>
      <c r="B587" s="17"/>
      <c r="C587" s="17"/>
      <c r="D587" s="17"/>
      <c r="E587" s="17"/>
      <c r="F587" s="17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53"/>
      <c r="B588" s="17"/>
      <c r="C588" s="17"/>
      <c r="D588" s="17"/>
      <c r="E588" s="17"/>
      <c r="F588" s="17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53"/>
      <c r="B589" s="17"/>
      <c r="C589" s="17"/>
      <c r="D589" s="17"/>
      <c r="E589" s="17"/>
      <c r="F589" s="17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53"/>
      <c r="B590" s="17"/>
      <c r="C590" s="17"/>
      <c r="D590" s="17"/>
      <c r="E590" s="62"/>
      <c r="F590" s="17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53"/>
      <c r="B591" s="17"/>
      <c r="C591" s="17"/>
      <c r="D591" s="17"/>
      <c r="E591" s="17"/>
      <c r="F591" s="17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53"/>
      <c r="B592" s="17"/>
      <c r="C592" s="17"/>
      <c r="D592" s="17"/>
      <c r="E592" s="17"/>
      <c r="F592" s="17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53"/>
      <c r="B593" s="17"/>
      <c r="C593" s="17"/>
      <c r="D593" s="17"/>
      <c r="E593" s="17"/>
      <c r="F593" s="17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53"/>
      <c r="B594" s="17"/>
      <c r="C594" s="17"/>
      <c r="D594" s="17"/>
      <c r="E594" s="17"/>
      <c r="F594" s="17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53"/>
      <c r="B595" s="17"/>
      <c r="C595" s="17"/>
      <c r="D595" s="17"/>
      <c r="E595" s="17"/>
      <c r="F595" s="17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53"/>
      <c r="B596" s="17"/>
      <c r="C596" s="17"/>
      <c r="D596" s="17"/>
      <c r="E596" s="17"/>
      <c r="F596" s="17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53"/>
      <c r="B597" s="17"/>
      <c r="C597" s="17"/>
      <c r="D597" s="17"/>
      <c r="E597" s="17"/>
      <c r="F597" s="17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53"/>
      <c r="B598" s="17"/>
      <c r="C598" s="17"/>
      <c r="D598" s="17"/>
      <c r="E598" s="17"/>
      <c r="F598" s="17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53"/>
      <c r="B599" s="17"/>
      <c r="C599" s="17"/>
      <c r="D599" s="17"/>
      <c r="E599" s="17"/>
      <c r="F599" s="17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53"/>
      <c r="B600" s="17"/>
      <c r="C600" s="17"/>
      <c r="D600" s="17"/>
      <c r="E600" s="17"/>
      <c r="F600" s="17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53"/>
      <c r="B601" s="17"/>
      <c r="C601" s="17"/>
      <c r="D601" s="17"/>
      <c r="E601" s="17"/>
      <c r="F601" s="17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53"/>
      <c r="B602" s="17"/>
      <c r="C602" s="17"/>
      <c r="D602" s="17"/>
      <c r="E602" s="17"/>
      <c r="F602" s="17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7"/>
      <c r="B603" s="70"/>
      <c r="C603" s="17"/>
      <c r="D603" s="17"/>
      <c r="E603" s="17"/>
      <c r="F603" s="17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53"/>
      <c r="B604" s="17"/>
      <c r="C604" s="17"/>
      <c r="D604" s="17"/>
      <c r="E604" s="17"/>
      <c r="F604" s="17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53"/>
      <c r="B605" s="17"/>
      <c r="C605" s="17"/>
      <c r="D605" s="17"/>
      <c r="E605" s="17"/>
      <c r="F605" s="17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53"/>
      <c r="B606" s="17"/>
      <c r="C606" s="17"/>
      <c r="D606" s="17"/>
      <c r="E606" s="17"/>
      <c r="F606" s="17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53"/>
      <c r="B607" s="17"/>
      <c r="C607" s="17"/>
      <c r="D607" s="17"/>
      <c r="E607" s="17"/>
      <c r="F607" s="17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53"/>
      <c r="B608" s="17"/>
      <c r="C608" s="17"/>
      <c r="D608" s="17"/>
      <c r="E608" s="17"/>
      <c r="F608" s="17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53"/>
      <c r="B609" s="17"/>
      <c r="C609" s="17"/>
      <c r="D609" s="17"/>
      <c r="E609" s="17"/>
      <c r="F609" s="17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53"/>
      <c r="B610" s="17"/>
      <c r="C610" s="17"/>
      <c r="D610" s="17"/>
      <c r="E610" s="17"/>
      <c r="F610" s="17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53"/>
      <c r="B611" s="17"/>
      <c r="C611" s="17"/>
      <c r="D611" s="17"/>
      <c r="E611" s="17"/>
      <c r="F611" s="17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53"/>
      <c r="B612" s="17"/>
      <c r="C612" s="17"/>
      <c r="D612" s="17"/>
      <c r="E612" s="17"/>
      <c r="F612" s="17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53"/>
      <c r="B613" s="17"/>
      <c r="C613" s="17"/>
      <c r="D613" s="17"/>
      <c r="E613" s="17"/>
      <c r="F613" s="17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53"/>
      <c r="B614" s="17"/>
      <c r="C614" s="53"/>
      <c r="D614" s="17"/>
      <c r="E614" s="17"/>
      <c r="F614" s="17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64"/>
      <c r="B615" s="62"/>
      <c r="C615" s="62"/>
      <c r="D615" s="64"/>
      <c r="E615" s="62"/>
      <c r="F615" s="62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"/>
      <c r="B616" s="17"/>
      <c r="C616" s="17"/>
      <c r="D616" s="17"/>
      <c r="E616" s="17"/>
      <c r="F616" s="17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53"/>
      <c r="B617" s="17"/>
      <c r="C617" s="17"/>
      <c r="D617" s="17"/>
      <c r="E617" s="17"/>
      <c r="F617" s="17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53"/>
      <c r="B618" s="17"/>
      <c r="C618" s="17"/>
      <c r="D618" s="17"/>
      <c r="E618" s="17"/>
      <c r="F618" s="17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53"/>
      <c r="B619" s="17"/>
      <c r="C619" s="17"/>
      <c r="D619" s="17"/>
      <c r="E619" s="17"/>
      <c r="F619" s="17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53"/>
      <c r="B620" s="17"/>
      <c r="C620" s="17"/>
      <c r="D620" s="17"/>
      <c r="E620" s="17"/>
      <c r="F620" s="17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53"/>
      <c r="B621" s="17"/>
      <c r="C621" s="17"/>
      <c r="D621" s="17"/>
      <c r="E621" s="17"/>
      <c r="F621" s="17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53"/>
      <c r="B622" s="17"/>
      <c r="C622" s="17"/>
      <c r="D622" s="17"/>
      <c r="E622" s="17"/>
      <c r="F622" s="62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53"/>
      <c r="B623" s="17"/>
      <c r="C623" s="17"/>
      <c r="D623" s="17"/>
      <c r="E623" s="17"/>
      <c r="F623" s="17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53"/>
      <c r="B624" s="17"/>
      <c r="C624" s="17"/>
      <c r="D624" s="17"/>
      <c r="E624" s="17"/>
      <c r="F624" s="17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53"/>
      <c r="B625" s="17"/>
      <c r="C625" s="17"/>
      <c r="D625" s="17"/>
      <c r="E625" s="17"/>
      <c r="F625" s="17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53"/>
      <c r="B626" s="17"/>
      <c r="C626" s="17"/>
      <c r="D626" s="17"/>
      <c r="E626" s="17"/>
      <c r="F626" s="17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53"/>
      <c r="B627" s="17"/>
      <c r="C627" s="17"/>
      <c r="D627" s="17"/>
      <c r="E627" s="17"/>
      <c r="F627" s="17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53"/>
      <c r="B628" s="17"/>
      <c r="C628" s="17"/>
      <c r="D628" s="17"/>
      <c r="E628" s="17"/>
      <c r="F628" s="17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53"/>
      <c r="B629" s="17"/>
      <c r="C629" s="17"/>
      <c r="D629" s="17"/>
      <c r="E629" s="17"/>
      <c r="F629" s="17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53"/>
      <c r="B630" s="17"/>
      <c r="C630" s="17"/>
      <c r="D630" s="17"/>
      <c r="E630" s="17"/>
      <c r="F630" s="17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53"/>
      <c r="B631" s="17"/>
      <c r="C631" s="17"/>
      <c r="D631" s="17"/>
      <c r="E631" s="17"/>
      <c r="F631" s="17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53"/>
      <c r="B632" s="17"/>
      <c r="C632" s="17"/>
      <c r="D632" s="17"/>
      <c r="E632" s="17"/>
      <c r="F632" s="17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53"/>
      <c r="B633" s="17"/>
      <c r="C633" s="17"/>
      <c r="D633" s="17"/>
      <c r="E633" s="17"/>
      <c r="F633" s="17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53"/>
      <c r="B634" s="17"/>
      <c r="C634" s="53"/>
      <c r="D634" s="17"/>
      <c r="E634" s="17"/>
      <c r="F634" s="17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53"/>
      <c r="B635" s="17"/>
      <c r="C635" s="17"/>
      <c r="D635" s="17"/>
      <c r="E635" s="17"/>
      <c r="F635" s="17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53"/>
      <c r="B636" s="17"/>
      <c r="C636" s="17"/>
      <c r="D636" s="17"/>
      <c r="E636" s="17"/>
      <c r="F636" s="17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53"/>
      <c r="B637" s="17"/>
      <c r="C637" s="17"/>
      <c r="D637" s="17"/>
      <c r="E637" s="17"/>
      <c r="F637" s="17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53"/>
      <c r="B638" s="17"/>
      <c r="C638" s="17"/>
      <c r="D638" s="17"/>
      <c r="E638" s="17"/>
      <c r="F638" s="17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53"/>
      <c r="B639" s="17"/>
      <c r="C639" s="17"/>
      <c r="D639" s="17"/>
      <c r="E639" s="17"/>
      <c r="F639" s="17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53"/>
      <c r="B640" s="17"/>
      <c r="C640" s="17"/>
      <c r="D640" s="17"/>
      <c r="E640" s="17"/>
      <c r="F640" s="17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53"/>
      <c r="B641" s="17"/>
      <c r="C641" s="17"/>
      <c r="D641" s="17"/>
      <c r="E641" s="17"/>
      <c r="F641" s="17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53"/>
      <c r="B642" s="17"/>
      <c r="C642" s="17"/>
      <c r="D642" s="17"/>
      <c r="E642" s="17"/>
      <c r="F642" s="17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6"/>
      <c r="B643" s="17"/>
      <c r="C643" s="17"/>
      <c r="D643" s="17"/>
      <c r="E643" s="17"/>
      <c r="F643" s="17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53"/>
      <c r="B644" s="17"/>
      <c r="C644" s="17"/>
      <c r="D644" s="17"/>
      <c r="E644" s="17"/>
      <c r="F644" s="17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53"/>
      <c r="B645" s="17"/>
      <c r="C645" s="17"/>
      <c r="D645" s="17"/>
      <c r="E645" s="17"/>
      <c r="F645" s="17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53"/>
      <c r="B646" s="17"/>
      <c r="C646" s="17"/>
      <c r="D646" s="17"/>
      <c r="E646" s="17"/>
      <c r="F646" s="17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53"/>
      <c r="B647" s="17"/>
      <c r="C647" s="17"/>
      <c r="D647" s="17"/>
      <c r="E647" s="17"/>
      <c r="F647" s="17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53"/>
      <c r="B648" s="17"/>
      <c r="C648" s="17"/>
      <c r="D648" s="17"/>
      <c r="E648" s="17"/>
      <c r="F648" s="17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53"/>
      <c r="B649" s="17"/>
      <c r="C649" s="17"/>
      <c r="D649" s="17"/>
      <c r="E649" s="17"/>
      <c r="F649" s="17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53"/>
      <c r="B650" s="17"/>
      <c r="C650" s="17"/>
      <c r="D650" s="17"/>
      <c r="E650" s="17"/>
      <c r="F650" s="17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53"/>
      <c r="B651" s="17"/>
      <c r="C651" s="17"/>
      <c r="D651" s="17"/>
      <c r="E651" s="17"/>
      <c r="F651" s="17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53"/>
      <c r="B652" s="17"/>
      <c r="C652" s="17"/>
      <c r="D652" s="17"/>
      <c r="E652" s="17"/>
      <c r="F652" s="17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53"/>
      <c r="B653" s="17"/>
      <c r="C653" s="17"/>
      <c r="D653" s="17"/>
      <c r="E653" s="17"/>
      <c r="F653" s="17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53"/>
      <c r="B654" s="17"/>
      <c r="C654" s="17"/>
      <c r="D654" s="17"/>
      <c r="E654" s="17"/>
      <c r="F654" s="17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53"/>
      <c r="B655" s="17"/>
      <c r="C655" s="17"/>
      <c r="D655" s="17"/>
      <c r="E655" s="17"/>
      <c r="F655" s="17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53"/>
      <c r="B656" s="17"/>
      <c r="C656" s="17"/>
      <c r="D656" s="17"/>
      <c r="E656" s="17"/>
      <c r="F656" s="17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53"/>
      <c r="B657" s="17"/>
      <c r="C657" s="17"/>
      <c r="D657" s="17"/>
      <c r="E657" s="17"/>
      <c r="F657" s="17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53"/>
      <c r="B658" s="17"/>
      <c r="C658" s="17"/>
      <c r="D658" s="17"/>
      <c r="E658" s="17"/>
      <c r="F658" s="17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53"/>
      <c r="B659" s="17"/>
      <c r="C659" s="17"/>
      <c r="D659" s="17"/>
      <c r="E659" s="17"/>
      <c r="F659" s="17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53"/>
      <c r="B660" s="17"/>
      <c r="C660" s="17"/>
      <c r="D660" s="17"/>
      <c r="E660" s="17"/>
      <c r="F660" s="17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53"/>
      <c r="B661" s="17"/>
      <c r="C661" s="17"/>
      <c r="D661" s="17"/>
      <c r="E661" s="17"/>
      <c r="F661" s="17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53"/>
      <c r="B662" s="17"/>
      <c r="C662" s="17"/>
      <c r="D662" s="17"/>
      <c r="E662" s="17"/>
      <c r="F662" s="17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53"/>
      <c r="B663" s="17"/>
      <c r="C663" s="17"/>
      <c r="D663" s="17"/>
      <c r="E663" s="17"/>
      <c r="F663" s="17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53"/>
      <c r="B664" s="17"/>
      <c r="C664" s="17"/>
      <c r="D664" s="17"/>
      <c r="E664" s="17"/>
      <c r="F664" s="17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53"/>
      <c r="B665" s="17"/>
      <c r="C665" s="17"/>
      <c r="D665" s="17"/>
      <c r="E665" s="17"/>
      <c r="F665" s="17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53"/>
      <c r="B666" s="17"/>
      <c r="C666" s="17"/>
      <c r="D666" s="17"/>
      <c r="E666" s="17"/>
      <c r="F666" s="17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53"/>
      <c r="B667" s="17"/>
      <c r="C667" s="17"/>
      <c r="D667" s="17"/>
      <c r="E667" s="17"/>
      <c r="F667" s="17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53"/>
      <c r="B668" s="17"/>
      <c r="C668" s="17"/>
      <c r="D668" s="17"/>
      <c r="E668" s="17"/>
      <c r="F668" s="17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53"/>
      <c r="B669" s="17"/>
      <c r="C669" s="17"/>
      <c r="D669" s="17"/>
      <c r="E669" s="17"/>
      <c r="F669" s="17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53"/>
      <c r="B670" s="17"/>
      <c r="C670" s="17"/>
      <c r="D670" s="17"/>
      <c r="E670" s="17"/>
      <c r="F670" s="17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53"/>
      <c r="B671" s="17"/>
      <c r="C671" s="17"/>
      <c r="D671" s="17"/>
      <c r="E671" s="17"/>
      <c r="F671" s="17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53"/>
      <c r="B672" s="17"/>
      <c r="C672" s="17"/>
      <c r="D672" s="17"/>
      <c r="E672" s="17"/>
      <c r="F672" s="17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53"/>
      <c r="B673" s="17"/>
      <c r="C673" s="17"/>
      <c r="D673" s="17"/>
      <c r="E673" s="17"/>
      <c r="F673" s="17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53"/>
      <c r="B674" s="17"/>
      <c r="C674" s="17"/>
      <c r="D674" s="17"/>
      <c r="E674" s="17"/>
      <c r="F674" s="17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53"/>
      <c r="B675" s="17"/>
      <c r="C675" s="17"/>
      <c r="D675" s="17"/>
      <c r="E675" s="17"/>
      <c r="F675" s="17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62"/>
      <c r="B676" s="17"/>
      <c r="C676" s="17"/>
      <c r="D676" s="17"/>
      <c r="E676" s="17"/>
      <c r="F676" s="17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53"/>
      <c r="B677" s="17"/>
      <c r="C677" s="17"/>
      <c r="D677" s="17"/>
      <c r="E677" s="17"/>
      <c r="F677" s="17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53"/>
      <c r="B678" s="17"/>
      <c r="C678" s="17"/>
      <c r="D678" s="17"/>
      <c r="E678" s="17"/>
      <c r="F678" s="17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53"/>
      <c r="B679" s="17"/>
      <c r="C679" s="17"/>
      <c r="D679" s="17"/>
      <c r="E679" s="17"/>
      <c r="F679" s="17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62"/>
      <c r="B680" s="17"/>
      <c r="C680" s="17"/>
      <c r="D680" s="17"/>
      <c r="E680" s="17"/>
      <c r="F680" s="17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53"/>
      <c r="B681" s="17"/>
      <c r="C681" s="17"/>
      <c r="D681" s="17"/>
      <c r="E681" s="71"/>
      <c r="F681" s="17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53"/>
      <c r="B682" s="17"/>
      <c r="C682" s="17"/>
      <c r="D682" s="17"/>
      <c r="E682" s="17"/>
      <c r="F682" s="17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72"/>
      <c r="B683" s="17"/>
      <c r="C683" s="17"/>
      <c r="D683" s="17"/>
      <c r="E683" s="17"/>
      <c r="F683" s="17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53"/>
      <c r="B684" s="17"/>
      <c r="C684" s="17"/>
      <c r="D684" s="17"/>
      <c r="E684" s="17"/>
      <c r="F684" s="17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53"/>
      <c r="B685" s="17"/>
      <c r="C685" s="17"/>
      <c r="D685" s="17"/>
      <c r="E685" s="17"/>
      <c r="F685" s="17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53"/>
      <c r="B686" s="17"/>
      <c r="C686" s="17"/>
      <c r="D686" s="17"/>
      <c r="E686" s="71"/>
      <c r="F686" s="17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6"/>
      <c r="B687" s="17"/>
      <c r="C687" s="17"/>
      <c r="D687" s="17"/>
      <c r="E687" s="17"/>
      <c r="F687" s="17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53"/>
      <c r="B688" s="17"/>
      <c r="C688" s="17"/>
      <c r="D688" s="17"/>
      <c r="E688" s="17"/>
      <c r="F688" s="17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53"/>
      <c r="B689" s="17"/>
      <c r="C689" s="17"/>
      <c r="D689" s="17"/>
      <c r="E689" s="71"/>
      <c r="F689" s="17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53"/>
      <c r="B690" s="17"/>
      <c r="C690" s="17"/>
      <c r="D690" s="17"/>
      <c r="E690" s="17"/>
      <c r="F690" s="17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53"/>
      <c r="B691" s="17"/>
      <c r="C691" s="17"/>
      <c r="D691" s="17"/>
      <c r="E691" s="17"/>
      <c r="F691" s="62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53"/>
      <c r="B692" s="17"/>
      <c r="C692" s="17"/>
      <c r="D692" s="17"/>
      <c r="E692" s="17"/>
      <c r="F692" s="17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53"/>
      <c r="B693" s="17"/>
      <c r="C693" s="17"/>
      <c r="D693" s="17"/>
      <c r="E693" s="17"/>
      <c r="F693" s="17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53"/>
      <c r="B694" s="17"/>
      <c r="C694" s="17"/>
      <c r="D694" s="17"/>
      <c r="E694" s="17"/>
      <c r="F694" s="17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53"/>
      <c r="B695" s="17"/>
      <c r="C695" s="17"/>
      <c r="D695" s="17"/>
      <c r="E695" s="17"/>
      <c r="F695" s="17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53"/>
      <c r="B696" s="17"/>
      <c r="C696" s="17"/>
      <c r="D696" s="17"/>
      <c r="E696" s="17"/>
      <c r="F696" s="17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72"/>
      <c r="B697" s="17"/>
      <c r="C697" s="17"/>
      <c r="D697" s="17"/>
      <c r="E697" s="17"/>
      <c r="F697" s="17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53"/>
      <c r="B698" s="17"/>
      <c r="C698" s="17"/>
      <c r="D698" s="17"/>
      <c r="E698" s="17"/>
      <c r="F698" s="17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53"/>
      <c r="B699" s="17"/>
      <c r="C699" s="17"/>
      <c r="D699" s="17"/>
      <c r="E699" s="17"/>
      <c r="F699" s="17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53"/>
      <c r="B700" s="17"/>
      <c r="C700" s="17"/>
      <c r="D700" s="17"/>
      <c r="E700" s="17"/>
      <c r="F700" s="17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53"/>
      <c r="B701" s="17"/>
      <c r="C701" s="17"/>
      <c r="D701" s="17"/>
      <c r="E701" s="17"/>
      <c r="F701" s="17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53"/>
      <c r="B702" s="17"/>
      <c r="C702" s="17"/>
      <c r="D702" s="17"/>
      <c r="E702" s="17"/>
      <c r="F702" s="17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53"/>
      <c r="B703" s="17"/>
      <c r="C703" s="17"/>
      <c r="D703" s="17"/>
      <c r="E703" s="17"/>
      <c r="F703" s="17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53"/>
      <c r="B704" s="17"/>
      <c r="C704" s="17"/>
      <c r="D704" s="17"/>
      <c r="E704" s="17"/>
      <c r="F704" s="17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53"/>
      <c r="B705" s="17"/>
      <c r="C705" s="17"/>
      <c r="D705" s="17"/>
      <c r="E705" s="17"/>
      <c r="F705" s="17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53"/>
      <c r="B706" s="17"/>
      <c r="C706" s="17"/>
      <c r="D706" s="17"/>
      <c r="E706" s="17"/>
      <c r="F706" s="17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53"/>
      <c r="B707" s="17"/>
      <c r="C707" s="17"/>
      <c r="D707" s="17"/>
      <c r="E707" s="17"/>
      <c r="F707" s="17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53"/>
      <c r="B708" s="17"/>
      <c r="C708" s="17"/>
      <c r="D708" s="17"/>
      <c r="E708" s="17"/>
      <c r="F708" s="17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53"/>
      <c r="B709" s="17"/>
      <c r="C709" s="17"/>
      <c r="D709" s="17"/>
      <c r="E709" s="17"/>
      <c r="F709" s="17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53"/>
      <c r="B710" s="17"/>
      <c r="C710" s="17"/>
      <c r="D710" s="17"/>
      <c r="E710" s="17"/>
      <c r="F710" s="17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53"/>
      <c r="B711" s="17"/>
      <c r="C711" s="17"/>
      <c r="D711" s="17"/>
      <c r="E711" s="17"/>
      <c r="F711" s="17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53"/>
      <c r="B712" s="17"/>
      <c r="C712" s="17"/>
      <c r="D712" s="17"/>
      <c r="E712" s="17"/>
      <c r="F712" s="17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7"/>
      <c r="B713" s="17"/>
      <c r="C713" s="17"/>
      <c r="D713" s="17"/>
      <c r="E713" s="17"/>
      <c r="F713" s="17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53"/>
      <c r="B714" s="17"/>
      <c r="C714" s="17"/>
      <c r="D714" s="17"/>
      <c r="E714" s="17"/>
      <c r="F714" s="17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53"/>
      <c r="B715" s="17"/>
      <c r="C715" s="17"/>
      <c r="D715" s="17"/>
      <c r="E715" s="17"/>
      <c r="F715" s="17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53"/>
      <c r="B716" s="17"/>
      <c r="C716" s="17"/>
      <c r="D716" s="17"/>
      <c r="E716" s="17"/>
      <c r="F716" s="17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53"/>
      <c r="B717" s="17"/>
      <c r="C717" s="17"/>
      <c r="D717" s="17"/>
      <c r="E717" s="17"/>
      <c r="F717" s="17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53"/>
      <c r="B718" s="17"/>
      <c r="C718" s="17"/>
      <c r="D718" s="17"/>
      <c r="E718" s="17"/>
      <c r="F718" s="17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53"/>
      <c r="B719" s="17"/>
      <c r="C719" s="17"/>
      <c r="D719" s="17"/>
      <c r="E719" s="17"/>
      <c r="F719" s="17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53"/>
      <c r="B720" s="17"/>
      <c r="C720" s="17"/>
      <c r="D720" s="17"/>
      <c r="E720" s="17"/>
      <c r="F720" s="17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53"/>
      <c r="B721" s="17"/>
      <c r="C721" s="17"/>
      <c r="D721" s="17"/>
      <c r="E721" s="17"/>
      <c r="F721" s="17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53"/>
      <c r="B722" s="17"/>
      <c r="C722" s="17"/>
      <c r="D722" s="17"/>
      <c r="E722" s="17"/>
      <c r="F722" s="17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53"/>
      <c r="B723" s="17"/>
      <c r="C723" s="17"/>
      <c r="D723" s="17"/>
      <c r="E723" s="17"/>
      <c r="F723" s="17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53"/>
      <c r="B724" s="17"/>
      <c r="C724" s="17"/>
      <c r="D724" s="17"/>
      <c r="E724" s="17"/>
      <c r="F724" s="17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53"/>
      <c r="B725" s="17"/>
      <c r="C725" s="17"/>
      <c r="D725" s="17"/>
      <c r="E725" s="17"/>
      <c r="F725" s="17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7"/>
      <c r="B726" s="17"/>
      <c r="C726" s="17"/>
      <c r="D726" s="17"/>
      <c r="E726" s="17"/>
      <c r="F726" s="17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53"/>
      <c r="B727" s="17"/>
      <c r="C727" s="17"/>
      <c r="D727" s="17"/>
      <c r="E727" s="17"/>
      <c r="F727" s="17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53"/>
      <c r="B728" s="17"/>
      <c r="C728" s="17"/>
      <c r="D728" s="17"/>
      <c r="E728" s="17"/>
      <c r="F728" s="17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53"/>
      <c r="B729" s="17"/>
      <c r="C729" s="17"/>
      <c r="D729" s="17"/>
      <c r="E729" s="17"/>
      <c r="F729" s="17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53"/>
      <c r="B730" s="17"/>
      <c r="C730" s="17"/>
      <c r="D730" s="17"/>
      <c r="E730" s="17"/>
      <c r="F730" s="17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53"/>
      <c r="B731" s="17"/>
      <c r="C731" s="17"/>
      <c r="D731" s="17"/>
      <c r="E731" s="17"/>
      <c r="F731" s="17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53"/>
      <c r="B732" s="17"/>
      <c r="C732" s="17"/>
      <c r="D732" s="17"/>
      <c r="E732" s="17"/>
      <c r="F732" s="17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53"/>
      <c r="B733" s="17"/>
      <c r="C733" s="17"/>
      <c r="D733" s="17"/>
      <c r="E733" s="17"/>
      <c r="F733" s="17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53"/>
      <c r="B734" s="17"/>
      <c r="C734" s="17"/>
      <c r="D734" s="17"/>
      <c r="E734" s="17"/>
      <c r="F734" s="17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7"/>
      <c r="B735" s="17"/>
      <c r="C735" s="17"/>
      <c r="D735" s="17"/>
      <c r="E735" s="17"/>
      <c r="F735" s="17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53"/>
      <c r="B736" s="17"/>
      <c r="C736" s="17"/>
      <c r="D736" s="17"/>
      <c r="E736" s="17"/>
      <c r="F736" s="17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53"/>
      <c r="B737" s="17"/>
      <c r="C737" s="17"/>
      <c r="D737" s="17"/>
      <c r="E737" s="17"/>
      <c r="F737" s="17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53"/>
      <c r="B738" s="17"/>
      <c r="C738" s="17"/>
      <c r="D738" s="17"/>
      <c r="E738" s="17"/>
      <c r="F738" s="17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53"/>
      <c r="B739" s="17"/>
      <c r="C739" s="17"/>
      <c r="D739" s="17"/>
      <c r="E739" s="17"/>
      <c r="F739" s="17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7"/>
      <c r="B740" s="17"/>
      <c r="C740" s="17"/>
      <c r="D740" s="17"/>
      <c r="E740" s="17"/>
      <c r="F740" s="17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53"/>
      <c r="B741" s="53"/>
      <c r="C741" s="17"/>
      <c r="D741" s="17"/>
      <c r="E741" s="17"/>
      <c r="F741" s="17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53"/>
      <c r="B742" s="53"/>
      <c r="C742" s="17"/>
      <c r="D742" s="17"/>
      <c r="E742" s="17"/>
      <c r="F742" s="17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53"/>
      <c r="B743" s="53"/>
      <c r="C743" s="17"/>
      <c r="D743" s="17"/>
      <c r="E743" s="17"/>
      <c r="F743" s="17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53"/>
      <c r="B744" s="53"/>
      <c r="C744" s="17"/>
      <c r="D744" s="17"/>
      <c r="E744" s="17"/>
      <c r="F744" s="17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53"/>
      <c r="B745" s="53"/>
      <c r="C745" s="17"/>
      <c r="D745" s="17"/>
      <c r="E745" s="17"/>
      <c r="F745" s="17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53"/>
      <c r="B746" s="53"/>
      <c r="C746" s="17"/>
      <c r="D746" s="17"/>
      <c r="E746" s="17"/>
      <c r="F746" s="17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53"/>
      <c r="B747" s="17"/>
      <c r="C747" s="17"/>
      <c r="D747" s="17"/>
      <c r="E747" s="17"/>
      <c r="F747" s="17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53"/>
      <c r="B748" s="17"/>
      <c r="C748" s="17"/>
      <c r="D748" s="17"/>
      <c r="E748" s="17"/>
      <c r="F748" s="17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53"/>
      <c r="B749" s="17"/>
      <c r="C749" s="17"/>
      <c r="D749" s="17"/>
      <c r="E749" s="17"/>
      <c r="F749" s="17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53"/>
      <c r="B750" s="17"/>
      <c r="C750" s="17"/>
      <c r="D750" s="17"/>
      <c r="E750" s="17"/>
      <c r="F750" s="17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7"/>
      <c r="B751" s="17"/>
      <c r="C751" s="17"/>
      <c r="D751" s="17"/>
      <c r="E751" s="17"/>
      <c r="F751" s="17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53"/>
      <c r="B752" s="17"/>
      <c r="C752" s="17"/>
      <c r="D752" s="17"/>
      <c r="E752" s="17"/>
      <c r="F752" s="17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53"/>
      <c r="B753" s="17"/>
      <c r="C753" s="17"/>
      <c r="D753" s="17"/>
      <c r="E753" s="17"/>
      <c r="F753" s="17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53"/>
      <c r="B754" s="17"/>
      <c r="C754" s="17"/>
      <c r="D754" s="17"/>
      <c r="E754" s="17"/>
      <c r="F754" s="17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7"/>
      <c r="B755" s="17"/>
      <c r="C755" s="17"/>
      <c r="D755" s="17"/>
      <c r="E755" s="17"/>
      <c r="F755" s="17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53"/>
      <c r="B756" s="17"/>
      <c r="C756" s="17"/>
      <c r="D756" s="17"/>
      <c r="E756" s="17"/>
      <c r="F756" s="17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53"/>
      <c r="B757" s="17"/>
      <c r="C757" s="17"/>
      <c r="D757" s="17"/>
      <c r="E757" s="17"/>
      <c r="F757" s="17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53"/>
      <c r="B758" s="17"/>
      <c r="C758" s="17"/>
      <c r="D758" s="17"/>
      <c r="E758" s="17"/>
      <c r="F758" s="17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53"/>
      <c r="B759" s="17"/>
      <c r="C759" s="17"/>
      <c r="D759" s="17"/>
      <c r="E759" s="17"/>
      <c r="F759" s="17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53"/>
      <c r="B760" s="17"/>
      <c r="C760" s="17"/>
      <c r="D760" s="17"/>
      <c r="E760" s="17"/>
      <c r="F760" s="17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53"/>
      <c r="B761" s="17"/>
      <c r="C761" s="17"/>
      <c r="D761" s="17"/>
      <c r="E761" s="17"/>
      <c r="F761" s="17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7"/>
      <c r="B762" s="17"/>
      <c r="C762" s="17"/>
      <c r="D762" s="17"/>
      <c r="E762" s="17"/>
      <c r="F762" s="17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53"/>
      <c r="B763" s="17"/>
      <c r="C763" s="17"/>
      <c r="D763" s="17"/>
      <c r="E763" s="17"/>
      <c r="F763" s="17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53"/>
      <c r="B764" s="17"/>
      <c r="C764" s="17"/>
      <c r="D764" s="17"/>
      <c r="E764" s="17"/>
      <c r="F764" s="17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53"/>
      <c r="B765" s="17"/>
      <c r="C765" s="17"/>
      <c r="D765" s="17"/>
      <c r="E765" s="17"/>
      <c r="F765" s="17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53"/>
      <c r="B766" s="17"/>
      <c r="C766" s="17"/>
      <c r="D766" s="17"/>
      <c r="E766" s="17"/>
      <c r="F766" s="17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53"/>
      <c r="B767" s="17"/>
      <c r="C767" s="17"/>
      <c r="D767" s="17"/>
      <c r="E767" s="17"/>
      <c r="F767" s="17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53"/>
      <c r="B768" s="17"/>
      <c r="C768" s="17"/>
      <c r="D768" s="17"/>
      <c r="E768" s="17"/>
      <c r="F768" s="17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53"/>
      <c r="B769" s="17"/>
      <c r="C769" s="17"/>
      <c r="D769" s="53"/>
      <c r="E769" s="17"/>
      <c r="F769" s="17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53"/>
      <c r="B770" s="17"/>
      <c r="C770" s="17"/>
      <c r="D770" s="17"/>
      <c r="E770" s="17"/>
      <c r="F770" s="17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53"/>
      <c r="B771" s="17"/>
      <c r="C771" s="17"/>
      <c r="D771" s="17"/>
      <c r="E771" s="17"/>
      <c r="F771" s="17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53"/>
      <c r="B772" s="17"/>
      <c r="C772" s="17"/>
      <c r="D772" s="17"/>
      <c r="E772" s="17"/>
      <c r="F772" s="17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7"/>
      <c r="B773" s="17"/>
      <c r="C773" s="17"/>
      <c r="D773" s="17"/>
      <c r="E773" s="17"/>
      <c r="F773" s="17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53"/>
      <c r="B774" s="17"/>
      <c r="C774" s="17"/>
      <c r="D774" s="17"/>
      <c r="E774" s="17"/>
      <c r="F774" s="17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53"/>
      <c r="B775" s="17"/>
      <c r="C775" s="17"/>
      <c r="D775" s="17"/>
      <c r="E775" s="17"/>
      <c r="F775" s="17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53"/>
      <c r="B776" s="17"/>
      <c r="C776" s="17"/>
      <c r="D776" s="17"/>
      <c r="E776" s="17"/>
      <c r="F776" s="17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53"/>
      <c r="B777" s="17"/>
      <c r="C777" s="17"/>
      <c r="D777" s="17"/>
      <c r="E777" s="17"/>
      <c r="F777" s="17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53"/>
      <c r="B778" s="17"/>
      <c r="C778" s="17"/>
      <c r="D778" s="17"/>
      <c r="E778" s="17"/>
      <c r="F778" s="17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53"/>
      <c r="B779" s="17"/>
      <c r="C779" s="17"/>
      <c r="D779" s="17"/>
      <c r="E779" s="17"/>
      <c r="F779" s="17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53"/>
      <c r="B780" s="17"/>
      <c r="C780" s="17"/>
      <c r="D780" s="17"/>
      <c r="E780" s="17"/>
      <c r="F780" s="17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7"/>
      <c r="B781" s="17"/>
      <c r="C781" s="17"/>
      <c r="D781" s="17"/>
      <c r="E781" s="17"/>
      <c r="F781" s="17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7"/>
      <c r="B782" s="17"/>
      <c r="C782" s="17"/>
      <c r="D782" s="17"/>
      <c r="E782" s="17"/>
      <c r="F782" s="17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53"/>
      <c r="B783" s="17"/>
      <c r="C783" s="17"/>
      <c r="D783" s="17"/>
      <c r="E783" s="17"/>
      <c r="F783" s="17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53"/>
      <c r="B784" s="17"/>
      <c r="C784" s="17"/>
      <c r="D784" s="17"/>
      <c r="E784" s="17"/>
      <c r="F784" s="17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73"/>
      <c r="B785" s="17"/>
      <c r="C785" s="17"/>
      <c r="D785" s="17"/>
      <c r="E785" s="17"/>
      <c r="F785" s="17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53"/>
      <c r="B786" s="17"/>
      <c r="C786" s="17"/>
      <c r="D786" s="17"/>
      <c r="E786" s="17"/>
      <c r="F786" s="17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53"/>
      <c r="B787" s="17"/>
      <c r="C787" s="17"/>
      <c r="D787" s="17"/>
      <c r="E787" s="17"/>
      <c r="F787" s="17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53"/>
      <c r="B788" s="17"/>
      <c r="C788" s="17"/>
      <c r="D788" s="17"/>
      <c r="E788" s="17"/>
      <c r="F788" s="17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53"/>
      <c r="B789" s="17"/>
      <c r="C789" s="17"/>
      <c r="D789" s="17"/>
      <c r="E789" s="17"/>
      <c r="F789" s="17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53"/>
      <c r="B790" s="17"/>
      <c r="C790" s="17"/>
      <c r="D790" s="17"/>
      <c r="E790" s="17"/>
      <c r="F790" s="17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53"/>
      <c r="B791" s="17"/>
      <c r="C791" s="17"/>
      <c r="D791" s="17"/>
      <c r="E791" s="17"/>
      <c r="F791" s="17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53"/>
      <c r="B792" s="17"/>
      <c r="C792" s="17"/>
      <c r="D792" s="17"/>
      <c r="E792" s="17"/>
      <c r="F792" s="17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53"/>
      <c r="B793" s="17"/>
      <c r="C793" s="17"/>
      <c r="D793" s="17"/>
      <c r="E793" s="17"/>
      <c r="F793" s="17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53"/>
      <c r="B794" s="17"/>
      <c r="C794" s="17"/>
      <c r="D794" s="17"/>
      <c r="E794" s="17"/>
      <c r="F794" s="17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53"/>
      <c r="B795" s="17"/>
      <c r="C795" s="17"/>
      <c r="D795" s="17"/>
      <c r="E795" s="17"/>
      <c r="F795" s="17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53"/>
      <c r="B796" s="17"/>
      <c r="C796" s="17"/>
      <c r="D796" s="17"/>
      <c r="E796" s="17"/>
      <c r="F796" s="17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53"/>
      <c r="B797" s="17"/>
      <c r="C797" s="17"/>
      <c r="D797" s="17"/>
      <c r="E797" s="17"/>
      <c r="F797" s="17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53"/>
      <c r="B798" s="17"/>
      <c r="C798" s="17"/>
      <c r="D798" s="17"/>
      <c r="E798" s="17"/>
      <c r="F798" s="17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7"/>
      <c r="B799" s="17"/>
      <c r="C799" s="17"/>
      <c r="D799" s="17"/>
      <c r="E799" s="17"/>
      <c r="F799" s="17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53"/>
      <c r="B800" s="17"/>
      <c r="C800" s="17"/>
      <c r="D800" s="17"/>
      <c r="E800" s="17"/>
      <c r="F800" s="17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53"/>
      <c r="B801" s="17"/>
      <c r="C801" s="17"/>
      <c r="D801" s="17"/>
      <c r="E801" s="17"/>
      <c r="F801" s="17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53"/>
      <c r="B802" s="17"/>
      <c r="C802" s="17"/>
      <c r="D802" s="17"/>
      <c r="E802" s="17"/>
      <c r="F802" s="17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53"/>
      <c r="B803" s="17"/>
      <c r="C803" s="17"/>
      <c r="D803" s="17"/>
      <c r="E803" s="17"/>
      <c r="F803" s="17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53"/>
      <c r="B804" s="17"/>
      <c r="C804" s="17"/>
      <c r="D804" s="17"/>
      <c r="E804" s="17"/>
      <c r="F804" s="17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53"/>
      <c r="B805" s="17"/>
      <c r="C805" s="17"/>
      <c r="D805" s="17"/>
      <c r="E805" s="17"/>
      <c r="F805" s="17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53"/>
      <c r="B806" s="17"/>
      <c r="C806" s="17"/>
      <c r="D806" s="17"/>
      <c r="E806" s="17"/>
      <c r="F806" s="17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53"/>
      <c r="B807" s="17"/>
      <c r="C807" s="17"/>
      <c r="D807" s="17"/>
      <c r="E807" s="17"/>
      <c r="F807" s="17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53"/>
      <c r="B808" s="17"/>
      <c r="C808" s="17"/>
      <c r="D808" s="17"/>
      <c r="E808" s="17"/>
      <c r="F808" s="17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53"/>
      <c r="B809" s="17"/>
      <c r="C809" s="17"/>
      <c r="D809" s="17"/>
      <c r="E809" s="17"/>
      <c r="F809" s="17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53"/>
      <c r="B810" s="17"/>
      <c r="C810" s="17"/>
      <c r="D810" s="17"/>
      <c r="E810" s="74"/>
      <c r="F810" s="17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53"/>
      <c r="B811" s="17"/>
      <c r="C811" s="17"/>
      <c r="D811" s="17"/>
      <c r="E811" s="74"/>
      <c r="F811" s="17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53"/>
      <c r="B812" s="17"/>
      <c r="C812" s="17"/>
      <c r="D812" s="17"/>
      <c r="E812" s="74"/>
      <c r="F812" s="17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53"/>
      <c r="B813" s="17"/>
      <c r="C813" s="17"/>
      <c r="D813" s="17"/>
      <c r="E813" s="17"/>
      <c r="F813" s="17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53"/>
      <c r="B814" s="17"/>
      <c r="C814" s="17"/>
      <c r="D814" s="17"/>
      <c r="E814" s="17"/>
      <c r="F814" s="17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53"/>
      <c r="B815" s="17"/>
      <c r="C815" s="17"/>
      <c r="D815" s="17"/>
      <c r="E815" s="53"/>
      <c r="F815" s="17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53"/>
      <c r="B816" s="53"/>
      <c r="C816" s="53"/>
      <c r="D816" s="53"/>
      <c r="E816" s="53"/>
      <c r="F816" s="17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53"/>
      <c r="B817" s="53"/>
      <c r="C817" s="53"/>
      <c r="D817" s="53"/>
      <c r="E817" s="53"/>
      <c r="F817" s="17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53"/>
      <c r="B818" s="53"/>
      <c r="C818" s="53"/>
      <c r="D818" s="53"/>
      <c r="E818" s="53"/>
      <c r="F818" s="17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53"/>
      <c r="B819" s="53"/>
      <c r="C819" s="53"/>
      <c r="D819" s="53"/>
      <c r="E819" s="53"/>
      <c r="F819" s="17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53"/>
      <c r="B820" s="53"/>
      <c r="C820" s="53"/>
      <c r="D820" s="53"/>
      <c r="E820" s="53"/>
      <c r="F820" s="17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7"/>
      <c r="B821" s="62"/>
      <c r="C821" s="17"/>
      <c r="D821" s="17"/>
      <c r="E821" s="17"/>
      <c r="F821" s="17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53"/>
      <c r="B822" s="17"/>
      <c r="C822" s="17"/>
      <c r="D822" s="17"/>
      <c r="E822" s="17"/>
      <c r="F822" s="17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53"/>
      <c r="B823" s="17"/>
      <c r="C823" s="17"/>
      <c r="D823" s="17"/>
      <c r="E823" s="17"/>
      <c r="F823" s="17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53"/>
      <c r="B824" s="17"/>
      <c r="C824" s="17"/>
      <c r="D824" s="17"/>
      <c r="E824" s="17"/>
      <c r="F824" s="17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53"/>
      <c r="B825" s="17"/>
      <c r="C825" s="17"/>
      <c r="D825" s="17"/>
      <c r="E825" s="17"/>
      <c r="F825" s="17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53"/>
      <c r="B826" s="17"/>
      <c r="C826" s="17"/>
      <c r="D826" s="17"/>
      <c r="E826" s="17"/>
      <c r="F826" s="17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7"/>
      <c r="B827" s="17"/>
      <c r="C827" s="17"/>
      <c r="D827" s="17"/>
      <c r="E827" s="17"/>
      <c r="F827" s="17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53"/>
      <c r="B828" s="17"/>
      <c r="C828" s="17"/>
      <c r="D828" s="17"/>
      <c r="E828" s="17"/>
      <c r="F828" s="17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53"/>
      <c r="B829" s="17"/>
      <c r="C829" s="17"/>
      <c r="D829" s="17"/>
      <c r="E829" s="17"/>
      <c r="F829" s="17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53"/>
      <c r="B830" s="17"/>
      <c r="C830" s="17"/>
      <c r="D830" s="53"/>
      <c r="E830" s="17"/>
      <c r="F830" s="17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53"/>
      <c r="B831" s="17"/>
      <c r="C831" s="17"/>
      <c r="D831" s="17"/>
      <c r="E831" s="17"/>
      <c r="F831" s="17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53"/>
      <c r="B832" s="17"/>
      <c r="C832" s="17"/>
      <c r="D832" s="17"/>
      <c r="E832" s="17"/>
      <c r="F832" s="17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53"/>
      <c r="B833" s="17"/>
      <c r="C833" s="17"/>
      <c r="D833" s="17"/>
      <c r="E833" s="17"/>
      <c r="F833" s="17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53"/>
      <c r="B834" s="17"/>
      <c r="C834" s="17"/>
      <c r="D834" s="17"/>
      <c r="E834" s="17"/>
      <c r="F834" s="17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53"/>
      <c r="B835" s="17"/>
      <c r="C835" s="17"/>
      <c r="D835" s="17"/>
      <c r="E835" s="17"/>
      <c r="F835" s="17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53"/>
      <c r="B836" s="17"/>
      <c r="C836" s="17"/>
      <c r="D836" s="17"/>
      <c r="E836" s="17"/>
      <c r="F836" s="17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53"/>
      <c r="B837" s="17"/>
      <c r="C837" s="17"/>
      <c r="D837" s="17"/>
      <c r="E837" s="17"/>
      <c r="F837" s="17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53"/>
      <c r="B838" s="17"/>
      <c r="C838" s="53"/>
      <c r="D838" s="17"/>
      <c r="E838" s="17"/>
      <c r="F838" s="17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53"/>
      <c r="B839" s="17"/>
      <c r="C839" s="17"/>
      <c r="D839" s="17"/>
      <c r="E839" s="17"/>
      <c r="F839" s="17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53"/>
      <c r="B840" s="17"/>
      <c r="C840" s="17"/>
      <c r="D840" s="53"/>
      <c r="E840" s="53"/>
      <c r="F840" s="17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53"/>
      <c r="B841" s="17"/>
      <c r="C841" s="17"/>
      <c r="D841" s="17"/>
      <c r="E841" s="17"/>
      <c r="F841" s="17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53"/>
      <c r="B842" s="17"/>
      <c r="C842" s="17"/>
      <c r="D842" s="17"/>
      <c r="E842" s="17"/>
      <c r="F842" s="17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53"/>
      <c r="B843" s="17"/>
      <c r="C843" s="17"/>
      <c r="D843" s="17"/>
      <c r="E843" s="17"/>
      <c r="F843" s="17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53"/>
      <c r="B844" s="17"/>
      <c r="C844" s="17"/>
      <c r="D844" s="17"/>
      <c r="E844" s="17"/>
      <c r="F844" s="17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53"/>
      <c r="B845" s="17"/>
      <c r="C845" s="17"/>
      <c r="D845" s="17"/>
      <c r="E845" s="17"/>
      <c r="F845" s="17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7"/>
      <c r="B846" s="17"/>
      <c r="C846" s="17"/>
      <c r="D846" s="53"/>
      <c r="E846" s="17"/>
      <c r="F846" s="17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53"/>
      <c r="B847" s="17"/>
      <c r="C847" s="17"/>
      <c r="D847" s="53"/>
      <c r="E847" s="17"/>
      <c r="F847" s="17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53"/>
      <c r="B848" s="17"/>
      <c r="C848" s="17"/>
      <c r="D848" s="17"/>
      <c r="E848" s="17"/>
      <c r="F848" s="17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2"/>
      <c r="B849" s="7"/>
      <c r="C849" s="7"/>
      <c r="D849" s="7"/>
      <c r="E849" s="17"/>
      <c r="F849" s="7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2"/>
      <c r="B850" s="7"/>
      <c r="C850" s="7"/>
      <c r="D850" s="12"/>
      <c r="E850" s="7"/>
      <c r="F850" s="7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2"/>
      <c r="B851" s="7"/>
      <c r="C851" s="7"/>
      <c r="D851" s="7"/>
      <c r="E851" s="7"/>
      <c r="F851" s="7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2"/>
      <c r="B852" s="5"/>
      <c r="C852" s="7"/>
      <c r="D852" s="7"/>
      <c r="E852" s="7"/>
      <c r="F852" s="7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2"/>
      <c r="B853" s="7"/>
      <c r="C853" s="7"/>
      <c r="D853" s="7"/>
      <c r="E853" s="17"/>
      <c r="F853" s="7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2"/>
      <c r="B854" s="7"/>
      <c r="C854" s="7"/>
      <c r="D854" s="7"/>
      <c r="E854" s="7"/>
      <c r="F854" s="7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2"/>
      <c r="B855" s="7"/>
      <c r="C855" s="7"/>
      <c r="D855" s="7"/>
      <c r="E855" s="17"/>
      <c r="F855" s="7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2"/>
      <c r="B856" s="7"/>
      <c r="C856" s="7"/>
      <c r="D856" s="7"/>
      <c r="E856" s="7"/>
      <c r="F856" s="7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2"/>
      <c r="B857" s="7"/>
      <c r="C857" s="7"/>
      <c r="D857" s="7"/>
      <c r="E857" s="7"/>
      <c r="F857" s="7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2"/>
      <c r="B858" s="7"/>
      <c r="C858" s="7"/>
      <c r="D858" s="12"/>
      <c r="E858" s="7"/>
      <c r="F858" s="7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2"/>
      <c r="B859" s="7"/>
      <c r="C859" s="7"/>
      <c r="D859" s="7"/>
      <c r="E859" s="17"/>
      <c r="F859" s="7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2"/>
      <c r="B860" s="7"/>
      <c r="C860" s="7"/>
      <c r="D860" s="7"/>
      <c r="E860" s="7"/>
      <c r="F860" s="7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2"/>
      <c r="B861" s="7"/>
      <c r="C861" s="7"/>
      <c r="D861" s="7"/>
      <c r="E861" s="7"/>
      <c r="F861" s="7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2"/>
      <c r="B862" s="7"/>
      <c r="C862" s="7"/>
      <c r="D862" s="7"/>
      <c r="E862" s="17"/>
      <c r="F862" s="7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2"/>
      <c r="B863" s="5"/>
      <c r="C863" s="7"/>
      <c r="D863" s="7"/>
      <c r="E863" s="17"/>
      <c r="F863" s="7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7"/>
      <c r="B864" s="7"/>
      <c r="C864" s="7"/>
      <c r="D864" s="7"/>
      <c r="E864" s="7"/>
      <c r="F864" s="7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2"/>
      <c r="B865" s="7"/>
      <c r="C865" s="7"/>
      <c r="D865" s="7"/>
      <c r="E865" s="7"/>
      <c r="F865" s="7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2"/>
      <c r="B866" s="7"/>
      <c r="C866" s="7"/>
      <c r="D866" s="7"/>
      <c r="E866" s="7"/>
      <c r="F866" s="7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2"/>
      <c r="B867" s="7"/>
      <c r="C867" s="7"/>
      <c r="D867" s="7"/>
      <c r="E867" s="7"/>
      <c r="F867" s="7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2"/>
      <c r="B868" s="7"/>
      <c r="C868" s="7"/>
      <c r="D868" s="7"/>
      <c r="E868" s="17"/>
      <c r="F868" s="7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2"/>
      <c r="B869" s="7"/>
      <c r="C869" s="7"/>
      <c r="D869" s="7"/>
      <c r="E869" s="17"/>
      <c r="F869" s="7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2"/>
      <c r="B870" s="7"/>
      <c r="C870" s="7"/>
      <c r="D870" s="7"/>
      <c r="E870" s="7"/>
      <c r="F870" s="7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2"/>
      <c r="B871" s="7"/>
      <c r="C871" s="7"/>
      <c r="D871" s="7"/>
      <c r="E871" s="7"/>
      <c r="F871" s="7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2"/>
      <c r="B872" s="7"/>
      <c r="C872" s="7"/>
      <c r="D872" s="7"/>
      <c r="E872" s="7"/>
      <c r="F872" s="7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2"/>
      <c r="B873" s="7"/>
      <c r="C873" s="7"/>
      <c r="D873" s="7"/>
      <c r="E873" s="17"/>
      <c r="F873" s="7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2"/>
      <c r="B874" s="7"/>
      <c r="C874" s="7"/>
      <c r="D874" s="7"/>
      <c r="E874" s="17"/>
      <c r="F874" s="7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2"/>
      <c r="B875" s="5"/>
      <c r="C875" s="7"/>
      <c r="D875" s="7"/>
      <c r="E875" s="7"/>
      <c r="F875" s="7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2"/>
      <c r="B876" s="7"/>
      <c r="C876" s="7"/>
      <c r="D876" s="7"/>
      <c r="E876" s="17"/>
      <c r="F876" s="7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7"/>
      <c r="B877" s="7"/>
      <c r="C877" s="7"/>
      <c r="D877" s="7"/>
      <c r="E877" s="7"/>
      <c r="F877" s="7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2"/>
      <c r="B878" s="7"/>
      <c r="C878" s="7"/>
      <c r="D878" s="12"/>
      <c r="E878" s="7"/>
      <c r="F878" s="7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2"/>
      <c r="B879" s="7"/>
      <c r="C879" s="7"/>
      <c r="D879" s="7"/>
      <c r="E879" s="7"/>
      <c r="F879" s="7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2"/>
      <c r="B880" s="7"/>
      <c r="C880" s="7"/>
      <c r="D880" s="7"/>
      <c r="E880" s="17"/>
      <c r="F880" s="7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2"/>
      <c r="B881" s="5"/>
      <c r="C881" s="7"/>
      <c r="D881" s="7"/>
      <c r="E881" s="7"/>
      <c r="F881" s="7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2"/>
      <c r="B882" s="5"/>
      <c r="C882" s="7"/>
      <c r="D882" s="7"/>
      <c r="E882" s="7"/>
      <c r="F882" s="7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2"/>
      <c r="B883" s="7"/>
      <c r="C883" s="7"/>
      <c r="D883" s="7"/>
      <c r="E883" s="7"/>
      <c r="F883" s="7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2"/>
      <c r="B884" s="7"/>
      <c r="C884" s="7"/>
      <c r="D884" s="7"/>
      <c r="E884" s="7"/>
      <c r="F884" s="7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2"/>
      <c r="B885" s="7"/>
      <c r="C885" s="7"/>
      <c r="D885" s="7"/>
      <c r="E885" s="75"/>
      <c r="F885" s="7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2"/>
      <c r="B886" s="7"/>
      <c r="C886" s="7"/>
      <c r="D886" s="7"/>
      <c r="E886" s="7"/>
      <c r="F886" s="7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2"/>
      <c r="B887" s="7"/>
      <c r="C887" s="7"/>
      <c r="D887" s="7"/>
      <c r="E887" s="7"/>
      <c r="F887" s="7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2"/>
      <c r="B888" s="7"/>
      <c r="C888" s="7"/>
      <c r="D888" s="7"/>
      <c r="E888" s="7"/>
      <c r="F888" s="7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2"/>
      <c r="B889" s="7"/>
      <c r="C889" s="7"/>
      <c r="D889" s="7"/>
      <c r="E889" s="7"/>
      <c r="F889" s="7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2"/>
      <c r="B890" s="7"/>
      <c r="C890" s="7"/>
      <c r="D890" s="12"/>
      <c r="E890" s="12"/>
      <c r="F890" s="7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2"/>
      <c r="B891" s="7"/>
      <c r="C891" s="7"/>
      <c r="D891" s="7"/>
      <c r="E891" s="7"/>
      <c r="F891" s="7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2"/>
      <c r="B892" s="7"/>
      <c r="C892" s="7"/>
      <c r="D892" s="7"/>
      <c r="E892" s="7"/>
      <c r="F892" s="7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7"/>
      <c r="B893" s="7"/>
      <c r="C893" s="7"/>
      <c r="D893" s="7"/>
      <c r="E893" s="7"/>
      <c r="F893" s="7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2"/>
      <c r="B894" s="7"/>
      <c r="C894" s="7"/>
      <c r="D894" s="7"/>
      <c r="E894" s="7"/>
      <c r="F894" s="7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2"/>
      <c r="B895" s="7"/>
      <c r="C895" s="7"/>
      <c r="D895" s="7"/>
      <c r="E895" s="7"/>
      <c r="F895" s="7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2"/>
      <c r="B896" s="7"/>
      <c r="C896" s="7"/>
      <c r="D896" s="7"/>
      <c r="E896" s="7"/>
      <c r="F896" s="7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2"/>
      <c r="B897" s="7"/>
      <c r="C897" s="7"/>
      <c r="D897" s="7"/>
      <c r="E897" s="7"/>
      <c r="F897" s="7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2"/>
      <c r="B898" s="7"/>
      <c r="C898" s="7"/>
      <c r="D898" s="7"/>
      <c r="E898" s="7"/>
      <c r="F898" s="7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2"/>
      <c r="B899" s="7"/>
      <c r="C899" s="7"/>
      <c r="D899" s="7"/>
      <c r="E899" s="7"/>
      <c r="F899" s="7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2"/>
      <c r="B900" s="5"/>
      <c r="C900" s="7"/>
      <c r="D900" s="7"/>
      <c r="E900" s="7"/>
      <c r="F900" s="7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7"/>
      <c r="B901" s="7"/>
      <c r="C901" s="7"/>
      <c r="D901" s="7"/>
      <c r="E901" s="7"/>
      <c r="F901" s="7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2"/>
      <c r="B902" s="7"/>
      <c r="C902" s="7"/>
      <c r="D902" s="12"/>
      <c r="E902" s="7"/>
      <c r="F902" s="7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2"/>
      <c r="B903" s="7"/>
      <c r="C903" s="7"/>
      <c r="D903" s="7"/>
      <c r="E903" s="7"/>
      <c r="F903" s="7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2"/>
      <c r="B904" s="7"/>
      <c r="C904" s="7"/>
      <c r="D904" s="7"/>
      <c r="E904" s="7"/>
      <c r="F904" s="7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2"/>
      <c r="B905" s="7"/>
      <c r="C905" s="12"/>
      <c r="D905" s="7"/>
      <c r="E905" s="7"/>
      <c r="F905" s="7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2"/>
      <c r="B906" s="5"/>
      <c r="C906" s="7"/>
      <c r="D906" s="7"/>
      <c r="E906" s="7"/>
      <c r="F906" s="7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2"/>
      <c r="B907" s="7"/>
      <c r="C907" s="7"/>
      <c r="D907" s="12"/>
      <c r="E907" s="7"/>
      <c r="F907" s="7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7"/>
      <c r="B908" s="5"/>
      <c r="C908" s="7"/>
      <c r="D908" s="7"/>
      <c r="E908" s="7"/>
      <c r="F908" s="7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2"/>
      <c r="B909" s="7"/>
      <c r="C909" s="12"/>
      <c r="D909" s="12"/>
      <c r="E909" s="7"/>
      <c r="F909" s="7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2"/>
      <c r="B910" s="7"/>
      <c r="C910" s="7"/>
      <c r="D910" s="12"/>
      <c r="E910" s="7"/>
      <c r="F910" s="7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2"/>
      <c r="B911" s="7"/>
      <c r="C911" s="7"/>
      <c r="D911" s="12"/>
      <c r="E911" s="12"/>
      <c r="F911" s="7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2"/>
      <c r="B912" s="5"/>
      <c r="C912" s="7"/>
      <c r="D912" s="7"/>
      <c r="E912" s="7"/>
      <c r="F912" s="7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2"/>
      <c r="B913" s="5"/>
      <c r="C913" s="7"/>
      <c r="D913" s="7"/>
      <c r="E913" s="7"/>
      <c r="F913" s="7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2"/>
      <c r="B914" s="5"/>
      <c r="C914" s="7"/>
      <c r="D914" s="7"/>
      <c r="E914" s="7"/>
      <c r="F914" s="7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2"/>
      <c r="B915" s="7"/>
      <c r="C915" s="7"/>
      <c r="D915" s="12"/>
      <c r="E915" s="7"/>
      <c r="F915" s="7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2"/>
      <c r="B916" s="7"/>
      <c r="C916" s="7"/>
      <c r="D916" s="12"/>
      <c r="E916" s="7"/>
      <c r="F916" s="7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2"/>
      <c r="B917" s="12"/>
      <c r="C917" s="12"/>
      <c r="D917" s="12"/>
      <c r="E917" s="12"/>
      <c r="F917" s="7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2"/>
      <c r="B918" s="76"/>
      <c r="C918" s="12"/>
      <c r="D918" s="12"/>
      <c r="E918" s="12"/>
      <c r="F918" s="7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2"/>
      <c r="B919" s="5"/>
      <c r="C919" s="7"/>
      <c r="D919" s="7"/>
      <c r="E919" s="7"/>
      <c r="F919" s="7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2"/>
      <c r="B920" s="5"/>
      <c r="C920" s="7"/>
      <c r="D920" s="7"/>
      <c r="E920" s="7"/>
      <c r="F920" s="7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2"/>
      <c r="B921" s="7"/>
      <c r="C921" s="7"/>
      <c r="D921" s="7"/>
      <c r="E921" s="7"/>
      <c r="F921" s="7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2"/>
      <c r="B922" s="12"/>
      <c r="C922" s="12"/>
      <c r="D922" s="12"/>
      <c r="E922" s="12"/>
      <c r="F922" s="7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2"/>
      <c r="B923" s="5"/>
      <c r="C923" s="7"/>
      <c r="D923" s="7"/>
      <c r="E923" s="7"/>
      <c r="F923" s="7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7"/>
      <c r="B924" s="5"/>
      <c r="C924" s="7"/>
      <c r="D924" s="7"/>
      <c r="E924" s="7"/>
      <c r="F924" s="7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2"/>
      <c r="B925" s="7"/>
      <c r="C925" s="7"/>
      <c r="D925" s="7"/>
      <c r="E925" s="7"/>
      <c r="F925" s="7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2"/>
      <c r="B926" s="7"/>
      <c r="C926" s="7"/>
      <c r="D926" s="7"/>
      <c r="E926" s="7"/>
      <c r="F926" s="7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2"/>
      <c r="B927" s="7"/>
      <c r="C927" s="7"/>
      <c r="D927" s="7"/>
      <c r="E927" s="7"/>
      <c r="F927" s="7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2"/>
      <c r="B928" s="7"/>
      <c r="C928" s="7"/>
      <c r="D928" s="7"/>
      <c r="E928" s="7"/>
      <c r="F928" s="7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2"/>
      <c r="B929" s="7"/>
      <c r="C929" s="7"/>
      <c r="D929" s="7"/>
      <c r="E929" s="7"/>
      <c r="F929" s="7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2"/>
      <c r="B930" s="7"/>
      <c r="C930" s="7"/>
      <c r="D930" s="7"/>
      <c r="E930" s="7"/>
      <c r="F930" s="7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2"/>
      <c r="B931" s="7"/>
      <c r="C931" s="7"/>
      <c r="D931" s="7"/>
      <c r="E931" s="7"/>
      <c r="F931" s="7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2"/>
      <c r="B932" s="7"/>
      <c r="C932" s="7"/>
      <c r="D932" s="7"/>
      <c r="E932" s="7"/>
      <c r="F932" s="7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2"/>
      <c r="B933" s="7"/>
      <c r="C933" s="12"/>
      <c r="D933" s="12"/>
      <c r="E933" s="7"/>
      <c r="F933" s="7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2"/>
      <c r="B934" s="7"/>
      <c r="C934" s="7"/>
      <c r="D934" s="7"/>
      <c r="E934" s="7"/>
      <c r="F934" s="7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2"/>
      <c r="B935" s="7"/>
      <c r="C935" s="7"/>
      <c r="D935" s="7"/>
      <c r="E935" s="7"/>
      <c r="F935" s="7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2"/>
      <c r="B936" s="7"/>
      <c r="C936" s="7"/>
      <c r="D936" s="7"/>
      <c r="E936" s="7"/>
      <c r="F936" s="7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2"/>
      <c r="B937" s="7"/>
      <c r="C937" s="7"/>
      <c r="D937" s="7"/>
      <c r="E937" s="7"/>
      <c r="F937" s="7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2"/>
      <c r="B938" s="7"/>
      <c r="C938" s="7"/>
      <c r="D938" s="7"/>
      <c r="E938" s="7"/>
      <c r="F938" s="7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2"/>
      <c r="B939" s="5"/>
      <c r="C939" s="7"/>
      <c r="D939" s="12"/>
      <c r="E939" s="7"/>
      <c r="F939" s="7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2"/>
      <c r="B940" s="7"/>
      <c r="C940" s="7"/>
      <c r="D940" s="7"/>
      <c r="E940" s="7"/>
      <c r="F940" s="7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2"/>
      <c r="B941" s="7"/>
      <c r="C941" s="7"/>
      <c r="D941" s="7"/>
      <c r="E941" s="7"/>
      <c r="F941" s="7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2"/>
      <c r="B942" s="7"/>
      <c r="C942" s="7"/>
      <c r="D942" s="7"/>
      <c r="E942" s="7"/>
      <c r="F942" s="7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2"/>
      <c r="B943" s="7"/>
      <c r="C943" s="7"/>
      <c r="D943" s="7"/>
      <c r="E943" s="7"/>
      <c r="F943" s="7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2"/>
      <c r="B944" s="7"/>
      <c r="C944" s="7"/>
      <c r="D944" s="7"/>
      <c r="E944" s="7"/>
      <c r="F944" s="7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2"/>
      <c r="B945" s="7"/>
      <c r="C945" s="7"/>
      <c r="D945" s="7"/>
      <c r="E945" s="7"/>
      <c r="F945" s="7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2"/>
      <c r="B946" s="7"/>
      <c r="C946" s="7"/>
      <c r="D946" s="12"/>
      <c r="E946" s="7"/>
      <c r="F946" s="7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2"/>
      <c r="B947" s="7"/>
      <c r="C947" s="7"/>
      <c r="D947" s="7"/>
      <c r="E947" s="7"/>
      <c r="F947" s="7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2"/>
      <c r="B948" s="7"/>
      <c r="C948" s="7"/>
      <c r="D948" s="7"/>
      <c r="E948" s="7"/>
      <c r="F948" s="7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2"/>
      <c r="B949" s="7"/>
      <c r="C949" s="7"/>
      <c r="D949" s="7"/>
      <c r="E949" s="7"/>
      <c r="F949" s="7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2"/>
      <c r="B950" s="7"/>
      <c r="C950" s="7"/>
      <c r="D950" s="7"/>
      <c r="E950" s="7"/>
      <c r="F950" s="7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2"/>
      <c r="B951" s="7"/>
      <c r="C951" s="7"/>
      <c r="D951" s="7"/>
      <c r="E951" s="7"/>
      <c r="F951" s="7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2"/>
      <c r="B952" s="7"/>
      <c r="C952" s="7"/>
      <c r="D952" s="7"/>
      <c r="E952" s="7"/>
      <c r="F952" s="7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2"/>
      <c r="B953" s="7"/>
      <c r="C953" s="7"/>
      <c r="D953" s="7"/>
      <c r="E953" s="7"/>
      <c r="F953" s="7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2"/>
      <c r="B954" s="7"/>
      <c r="C954" s="7"/>
      <c r="D954" s="7"/>
      <c r="E954" s="7"/>
      <c r="F954" s="7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2"/>
      <c r="B955" s="7"/>
      <c r="C955" s="7"/>
      <c r="D955" s="12"/>
      <c r="E955" s="7"/>
      <c r="F955" s="7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2"/>
      <c r="B956" s="76"/>
      <c r="C956" s="12"/>
      <c r="D956" s="12"/>
      <c r="E956" s="12"/>
      <c r="F956" s="7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2"/>
      <c r="B957" s="76"/>
      <c r="C957" s="12"/>
      <c r="D957" s="12"/>
      <c r="E957" s="12"/>
      <c r="F957" s="7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2"/>
      <c r="B958" s="76"/>
      <c r="C958" s="12"/>
      <c r="D958" s="12"/>
      <c r="E958" s="12"/>
      <c r="F958" s="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2"/>
      <c r="B959" s="76"/>
      <c r="C959" s="12"/>
      <c r="D959" s="12"/>
      <c r="E959" s="12"/>
      <c r="F959" s="7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7"/>
      <c r="B960" s="5"/>
      <c r="C960" s="7"/>
      <c r="D960" s="7"/>
      <c r="E960" s="7"/>
      <c r="F960" s="7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2"/>
      <c r="B961" s="7"/>
      <c r="C961" s="7"/>
      <c r="D961" s="7"/>
      <c r="E961" s="7"/>
      <c r="F961" s="7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2"/>
      <c r="B962" s="7"/>
      <c r="C962" s="7"/>
      <c r="D962" s="7"/>
      <c r="E962" s="7"/>
      <c r="F962" s="7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2"/>
      <c r="B963" s="7"/>
      <c r="C963" s="7"/>
      <c r="D963" s="7"/>
      <c r="E963" s="7"/>
      <c r="F963" s="7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2"/>
      <c r="B964" s="5"/>
      <c r="C964" s="7"/>
      <c r="D964" s="7"/>
      <c r="E964" s="7"/>
      <c r="F964" s="7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2"/>
      <c r="B965" s="7"/>
      <c r="C965" s="7"/>
      <c r="D965" s="7"/>
      <c r="E965" s="7"/>
      <c r="F965" s="7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2"/>
      <c r="B966" s="7"/>
      <c r="C966" s="7"/>
      <c r="D966" s="7"/>
      <c r="E966" s="7"/>
      <c r="F966" s="7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2"/>
      <c r="B967" s="7"/>
      <c r="C967" s="7"/>
      <c r="D967" s="7"/>
      <c r="E967" s="7"/>
      <c r="F967" s="7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2"/>
      <c r="B968" s="7"/>
      <c r="C968" s="7"/>
      <c r="D968" s="7"/>
      <c r="E968" s="7"/>
      <c r="F968" s="7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2"/>
      <c r="B969" s="7"/>
      <c r="C969" s="7"/>
      <c r="D969" s="7"/>
      <c r="E969" s="7"/>
      <c r="F969" s="7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2"/>
      <c r="B970" s="7"/>
      <c r="C970" s="7"/>
      <c r="D970" s="7"/>
      <c r="E970" s="7"/>
      <c r="F970" s="7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2"/>
      <c r="B971" s="7"/>
      <c r="C971" s="7"/>
      <c r="D971" s="7"/>
      <c r="E971" s="7"/>
      <c r="F971" s="7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2"/>
      <c r="B972" s="7"/>
      <c r="C972" s="7"/>
      <c r="D972" s="7"/>
      <c r="E972" s="7"/>
      <c r="F972" s="7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2"/>
      <c r="B973" s="7"/>
      <c r="C973" s="7"/>
      <c r="D973" s="7"/>
      <c r="E973" s="7"/>
      <c r="F973" s="7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2"/>
      <c r="B974" s="7"/>
      <c r="C974" s="7"/>
      <c r="D974" s="7"/>
      <c r="E974" s="7"/>
      <c r="F974" s="7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2"/>
      <c r="B975" s="7"/>
      <c r="C975" s="7"/>
      <c r="D975" s="7"/>
      <c r="E975" s="7"/>
      <c r="F975" s="7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2"/>
      <c r="B976" s="7"/>
      <c r="C976" s="7"/>
      <c r="D976" s="15">
        <v>6.06147862329E11</v>
      </c>
      <c r="E976" s="7"/>
      <c r="F976" s="7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2"/>
      <c r="B977" s="7"/>
      <c r="C977" s="7"/>
      <c r="D977" s="7"/>
      <c r="E977" s="7"/>
      <c r="F977" s="7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2"/>
      <c r="B978" s="7"/>
      <c r="C978" s="7"/>
      <c r="D978" s="7"/>
      <c r="E978" s="7"/>
      <c r="F978" s="7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2"/>
      <c r="B979" s="7"/>
      <c r="C979" s="7"/>
      <c r="D979" s="7"/>
      <c r="E979" s="7"/>
      <c r="F979" s="7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2"/>
      <c r="B980" s="7"/>
      <c r="C980" s="12"/>
      <c r="D980" s="7"/>
      <c r="E980" s="7"/>
      <c r="F980" s="7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2"/>
      <c r="B981" s="7"/>
      <c r="C981" s="7"/>
      <c r="D981" s="7"/>
      <c r="E981" s="7"/>
      <c r="F981" s="7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2"/>
      <c r="B982" s="7"/>
      <c r="C982" s="7"/>
      <c r="D982" s="7"/>
      <c r="E982" s="7"/>
      <c r="F982" s="7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2"/>
      <c r="B983" s="7"/>
      <c r="C983" s="7"/>
      <c r="D983" s="7"/>
      <c r="E983" s="7"/>
      <c r="F983" s="7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2"/>
      <c r="B984" s="7"/>
      <c r="C984" s="7"/>
      <c r="D984" s="7"/>
      <c r="E984" s="7"/>
      <c r="F984" s="7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2"/>
      <c r="B985" s="7"/>
      <c r="C985" s="7"/>
      <c r="D985" s="7"/>
      <c r="E985" s="7"/>
      <c r="F985" s="7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2"/>
      <c r="B986" s="7"/>
      <c r="C986" s="7"/>
      <c r="D986" s="7"/>
      <c r="E986" s="7"/>
      <c r="F986" s="7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2"/>
      <c r="B987" s="5"/>
      <c r="C987" s="7"/>
      <c r="D987" s="7"/>
      <c r="E987" s="7"/>
      <c r="F987" s="7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2"/>
      <c r="B988" s="7"/>
      <c r="C988" s="7"/>
      <c r="D988" s="7"/>
      <c r="E988" s="7"/>
      <c r="F988" s="7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2"/>
      <c r="B989" s="7"/>
      <c r="C989" s="7"/>
      <c r="D989" s="7"/>
      <c r="E989" s="7"/>
      <c r="F989" s="7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2"/>
      <c r="B990" s="7"/>
      <c r="C990" s="7"/>
      <c r="D990" s="7"/>
      <c r="E990" s="7"/>
      <c r="F990" s="7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2"/>
      <c r="B991" s="7"/>
      <c r="C991" s="7"/>
      <c r="D991" s="7"/>
      <c r="E991" s="7"/>
      <c r="F991" s="7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2"/>
      <c r="B992" s="7"/>
      <c r="C992" s="7"/>
      <c r="D992" s="7"/>
      <c r="E992" s="7"/>
      <c r="F992" s="7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2"/>
      <c r="B993" s="7"/>
      <c r="C993" s="7"/>
      <c r="D993" s="7"/>
      <c r="E993" s="7"/>
      <c r="F993" s="7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7"/>
      <c r="B994" s="7"/>
      <c r="C994" s="7"/>
      <c r="D994" s="7"/>
      <c r="E994" s="7"/>
      <c r="F994" s="7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2"/>
      <c r="B995" s="7"/>
      <c r="C995" s="7"/>
      <c r="D995" s="15"/>
      <c r="E995" s="7"/>
      <c r="F995" s="7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2"/>
      <c r="B996" s="7"/>
      <c r="C996" s="7"/>
      <c r="D996" s="7"/>
      <c r="E996" s="7"/>
      <c r="F996" s="7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2"/>
      <c r="B997" s="7"/>
      <c r="C997" s="7"/>
      <c r="D997" s="7"/>
      <c r="E997" s="7"/>
      <c r="F997" s="7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2"/>
      <c r="B998" s="7"/>
      <c r="C998" s="7"/>
      <c r="D998" s="7"/>
      <c r="E998" s="7"/>
      <c r="F998" s="7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2"/>
      <c r="B999" s="7"/>
      <c r="C999" s="7"/>
      <c r="D999" s="15">
        <v>6.06147862329E11</v>
      </c>
      <c r="E999" s="7"/>
      <c r="F999" s="7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2"/>
      <c r="B1000" s="7"/>
      <c r="C1000" s="7"/>
      <c r="D1000" s="7"/>
      <c r="E1000" s="7"/>
      <c r="F1000" s="7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2"/>
      <c r="B1001" s="7"/>
      <c r="C1001" s="7"/>
      <c r="D1001" s="12"/>
      <c r="E1001" s="7"/>
      <c r="F1001" s="7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2"/>
      <c r="B1002" s="7"/>
      <c r="C1002" s="7"/>
      <c r="D1002" s="7"/>
      <c r="E1002" s="7"/>
      <c r="F1002" s="7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2"/>
      <c r="B1003" s="7"/>
      <c r="C1003" s="7"/>
      <c r="D1003" s="7"/>
      <c r="E1003" s="7"/>
      <c r="F1003" s="7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2"/>
      <c r="B1004" s="7"/>
      <c r="C1004" s="7"/>
      <c r="D1004" s="7"/>
      <c r="E1004" s="7"/>
      <c r="F1004" s="7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2"/>
      <c r="B1005" s="7"/>
      <c r="C1005" s="7"/>
      <c r="D1005" s="7"/>
      <c r="E1005" s="7"/>
      <c r="F1005" s="7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2"/>
      <c r="B1006" s="7"/>
      <c r="C1006" s="7"/>
      <c r="D1006" s="7"/>
      <c r="E1006" s="7"/>
      <c r="F1006" s="7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2"/>
      <c r="B1007" s="7"/>
      <c r="C1007" s="7"/>
      <c r="D1007" s="7"/>
      <c r="E1007" s="7"/>
      <c r="F1007" s="7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2"/>
      <c r="B1008" s="7"/>
      <c r="C1008" s="7"/>
      <c r="D1008" s="7"/>
      <c r="E1008" s="7"/>
      <c r="F1008" s="7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2"/>
      <c r="B1009" s="7"/>
      <c r="C1009" s="7"/>
      <c r="D1009" s="7"/>
      <c r="E1009" s="7"/>
      <c r="F1009" s="7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2"/>
      <c r="B1010" s="7"/>
      <c r="C1010" s="7"/>
      <c r="D1010" s="12"/>
      <c r="E1010" s="12"/>
      <c r="F1010" s="7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2"/>
      <c r="B1011" s="7"/>
      <c r="C1011" s="7"/>
      <c r="D1011" s="7"/>
      <c r="E1011" s="7"/>
      <c r="F1011" s="7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>
      <c r="A1012" s="12"/>
      <c r="B1012" s="7"/>
      <c r="C1012" s="7"/>
      <c r="D1012" s="7"/>
      <c r="E1012" s="7"/>
      <c r="F1012" s="7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>
      <c r="A1013" s="12"/>
      <c r="B1013" s="7"/>
      <c r="C1013" s="7"/>
      <c r="D1013" s="7"/>
      <c r="E1013" s="7"/>
      <c r="F1013" s="7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>
      <c r="A1014" s="12"/>
      <c r="B1014" s="7"/>
      <c r="C1014" s="7"/>
      <c r="D1014" s="7"/>
      <c r="E1014" s="7"/>
      <c r="F1014" s="7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>
      <c r="A1015" s="12"/>
      <c r="B1015" s="5"/>
      <c r="C1015" s="7"/>
      <c r="D1015" s="7"/>
      <c r="E1015" s="7"/>
      <c r="F1015" s="7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>
      <c r="A1016" s="12"/>
      <c r="B1016" s="7"/>
      <c r="C1016" s="7"/>
      <c r="D1016" s="7"/>
      <c r="E1016" s="7"/>
      <c r="F1016" s="7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>
      <c r="A1017" s="12"/>
      <c r="B1017" s="7"/>
      <c r="C1017" s="7"/>
      <c r="D1017" s="7"/>
      <c r="E1017" s="7"/>
      <c r="F1017" s="7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>
      <c r="A1018" s="12"/>
      <c r="B1018" s="7"/>
      <c r="C1018" s="7"/>
      <c r="D1018" s="7"/>
      <c r="E1018" s="7"/>
      <c r="F1018" s="7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>
      <c r="A1019" s="12"/>
      <c r="B1019" s="7"/>
      <c r="C1019" s="7"/>
      <c r="D1019" s="7"/>
      <c r="E1019" s="7"/>
      <c r="F1019" s="7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>
      <c r="A1020" s="12"/>
      <c r="B1020" s="7"/>
      <c r="C1020" s="7"/>
      <c r="D1020" s="7"/>
      <c r="E1020" s="7"/>
      <c r="F1020" s="7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>
      <c r="A1021" s="12"/>
      <c r="B1021" s="7"/>
      <c r="C1021" s="7"/>
      <c r="D1021" s="7"/>
      <c r="E1021" s="7"/>
      <c r="F1021" s="7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>
      <c r="A1022" s="12"/>
      <c r="B1022" s="7"/>
      <c r="C1022" s="7"/>
      <c r="D1022" s="7"/>
      <c r="E1022" s="7"/>
      <c r="F1022" s="7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>
      <c r="A1023" s="12"/>
      <c r="B1023" s="7"/>
      <c r="C1023" s="7"/>
      <c r="D1023" s="12"/>
      <c r="E1023" s="7"/>
      <c r="F1023" s="7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>
      <c r="A1024" s="16"/>
      <c r="B1024" s="7"/>
      <c r="C1024" s="7"/>
      <c r="D1024" s="7"/>
      <c r="E1024" s="7"/>
      <c r="F1024" s="7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>
      <c r="A1025" s="16"/>
      <c r="B1025" s="7"/>
      <c r="C1025" s="7"/>
      <c r="D1025" s="7"/>
      <c r="E1025" s="7"/>
      <c r="F1025" s="7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>
      <c r="A1026" s="16"/>
      <c r="B1026" s="7"/>
      <c r="C1026" s="7"/>
      <c r="D1026" s="7"/>
      <c r="E1026" s="7"/>
      <c r="F1026" s="7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>
      <c r="A1027" s="16"/>
      <c r="C1027" s="7"/>
      <c r="D1027" s="12"/>
      <c r="E1027" s="7"/>
      <c r="F1027" s="7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>
      <c r="A1028" s="16"/>
      <c r="B1028" s="7"/>
      <c r="C1028" s="7"/>
      <c r="D1028" s="7"/>
      <c r="E1028" s="7"/>
      <c r="F1028" s="7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>
      <c r="A1029" s="16"/>
      <c r="B1029" s="7"/>
      <c r="C1029" s="7"/>
      <c r="D1029" s="7"/>
      <c r="E1029" s="7"/>
      <c r="F1029" s="7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>
      <c r="A1030" s="16"/>
      <c r="B1030" s="7"/>
      <c r="C1030" s="7"/>
      <c r="D1030" s="7"/>
      <c r="E1030" s="7"/>
      <c r="F1030" s="7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>
      <c r="A1031" s="16"/>
      <c r="B1031" s="7"/>
      <c r="C1031" s="7"/>
      <c r="D1031" s="7"/>
      <c r="E1031" s="7"/>
      <c r="F1031" s="7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>
      <c r="A1032" s="16"/>
      <c r="B1032" s="7"/>
      <c r="C1032" s="12"/>
      <c r="D1032" s="7"/>
      <c r="E1032" s="7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r="1033">
      <c r="A1033" s="16"/>
      <c r="C1033" s="7"/>
      <c r="D1033" s="7"/>
      <c r="E1033" s="7"/>
      <c r="F1033" s="7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r="1034">
      <c r="A1034" s="16"/>
      <c r="B1034" s="7"/>
      <c r="C1034" s="7"/>
      <c r="D1034" s="7"/>
      <c r="E1034" s="7"/>
      <c r="F1034" s="7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r="1035">
      <c r="A1035" s="16"/>
      <c r="B1035" s="7"/>
      <c r="C1035" s="7"/>
      <c r="D1035" s="7"/>
      <c r="E1035" s="7"/>
      <c r="F1035" s="7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r="1036">
      <c r="A1036" s="16"/>
      <c r="B1036" s="7"/>
      <c r="C1036" s="7"/>
      <c r="D1036" s="7"/>
      <c r="E1036" s="7"/>
      <c r="F1036" s="7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>
      <c r="A1037" s="16"/>
      <c r="B1037" s="7"/>
      <c r="C1037" s="7"/>
      <c r="D1037" s="7"/>
      <c r="E1037" s="7"/>
      <c r="F1037" s="7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r="1038">
      <c r="A1038" s="16"/>
      <c r="B1038" s="7"/>
      <c r="C1038" s="7"/>
      <c r="D1038" s="7"/>
      <c r="E1038" s="7"/>
      <c r="F1038" s="7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r="1039">
      <c r="A1039" s="16"/>
      <c r="B1039" s="7"/>
      <c r="C1039" s="7"/>
      <c r="D1039" s="12"/>
      <c r="E1039" s="7"/>
      <c r="F1039" s="7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r="1040">
      <c r="A1040" s="16"/>
      <c r="B1040" s="7"/>
      <c r="C1040" s="7"/>
      <c r="D1040" s="7"/>
      <c r="E1040" s="7"/>
      <c r="F1040" s="7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r="1041">
      <c r="A1041" s="16"/>
      <c r="B1041" s="7"/>
      <c r="C1041" s="7"/>
      <c r="D1041" s="7"/>
      <c r="E1041" s="7"/>
      <c r="F1041" s="7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r="1042">
      <c r="A1042" s="16"/>
      <c r="B1042" s="7"/>
      <c r="C1042" s="7"/>
      <c r="D1042" s="7"/>
      <c r="E1042" s="7"/>
      <c r="F1042" s="7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r="1043">
      <c r="A1043" s="16"/>
      <c r="B1043" s="7"/>
      <c r="C1043" s="7"/>
      <c r="D1043" s="7"/>
      <c r="E1043" s="7"/>
      <c r="F1043" s="7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r="1044">
      <c r="A1044" s="16"/>
      <c r="B1044" s="7"/>
      <c r="C1044" s="7"/>
      <c r="D1044" s="7"/>
      <c r="E1044" s="7"/>
      <c r="F1044" s="7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r="1045">
      <c r="A1045" s="16"/>
      <c r="B1045" s="7"/>
      <c r="C1045" s="7"/>
      <c r="D1045" s="7"/>
      <c r="E1045" s="7"/>
      <c r="F1045" s="7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r="1046">
      <c r="A1046" s="16"/>
      <c r="B1046" s="7"/>
      <c r="C1046" s="7"/>
      <c r="D1046" s="7"/>
      <c r="E1046" s="7"/>
      <c r="F1046" s="7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r="1047">
      <c r="A1047" s="16"/>
      <c r="B1047" s="7"/>
      <c r="C1047" s="7"/>
      <c r="D1047" s="7"/>
      <c r="E1047" s="7"/>
      <c r="F1047" s="7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r="1048">
      <c r="C1048" s="76"/>
      <c r="D1048" s="76"/>
      <c r="E1048" s="7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r="1049">
      <c r="C1049" s="76"/>
      <c r="D1049" s="76"/>
      <c r="E1049" s="7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r="1050">
      <c r="C1050" s="76"/>
      <c r="D1050" s="76"/>
      <c r="E1050" s="7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r="1051">
      <c r="C1051" s="76"/>
      <c r="D1051" s="76"/>
      <c r="E1051" s="7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r="1052">
      <c r="C1052" s="76"/>
      <c r="D1052" s="76"/>
      <c r="E1052" s="7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r="1053">
      <c r="C1053" s="76"/>
      <c r="D1053" s="76"/>
      <c r="E1053" s="7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r="1054">
      <c r="C1054" s="76"/>
      <c r="D1054" s="76"/>
      <c r="E1054" s="7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r="1055">
      <c r="C1055" s="76"/>
      <c r="D1055" s="76"/>
      <c r="E1055" s="7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r="1056">
      <c r="C1056" s="76"/>
      <c r="D1056" s="76"/>
      <c r="E1056" s="7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r="1057">
      <c r="C1057" s="76"/>
      <c r="D1057" s="76"/>
      <c r="E1057" s="7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r="1058">
      <c r="C1058" s="76"/>
      <c r="D1058" s="76"/>
      <c r="E1058" s="7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r="1059">
      <c r="C1059" s="76"/>
      <c r="D1059" s="76"/>
      <c r="E1059" s="7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r="1060">
      <c r="C1060" s="76"/>
      <c r="D1060" s="76"/>
      <c r="E1060" s="7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r="1061">
      <c r="C1061" s="76"/>
      <c r="D1061" s="76"/>
      <c r="E1061" s="7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r="1062">
      <c r="C1062" s="76"/>
      <c r="D1062" s="76"/>
      <c r="E1062" s="7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r="1063">
      <c r="C1063" s="76"/>
      <c r="D1063" s="76"/>
      <c r="E1063" s="7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r="1064">
      <c r="C1064" s="76"/>
      <c r="D1064" s="76"/>
      <c r="E1064" s="7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r="1065">
      <c r="C1065" s="76"/>
      <c r="D1065" s="76"/>
      <c r="E1065" s="7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r="1066">
      <c r="C1066" s="76"/>
      <c r="D1066" s="76"/>
      <c r="E1066" s="7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r="1067">
      <c r="C1067" s="76"/>
      <c r="D1067" s="76"/>
      <c r="E1067" s="7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r="1068">
      <c r="C1068" s="76"/>
      <c r="D1068" s="76"/>
      <c r="E1068" s="7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r="1069">
      <c r="C1069" s="76"/>
      <c r="D1069" s="76"/>
      <c r="E1069" s="7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r="1070">
      <c r="C1070" s="76"/>
      <c r="D1070" s="76"/>
      <c r="E1070" s="7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r="1071">
      <c r="C1071" s="76"/>
      <c r="D1071" s="76"/>
      <c r="E1071" s="7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r="1072">
      <c r="C1072" s="76"/>
      <c r="D1072" s="76"/>
      <c r="E1072" s="7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r="1073">
      <c r="C1073" s="76"/>
      <c r="D1073" s="76"/>
      <c r="E1073" s="7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r="1074">
      <c r="C1074" s="76"/>
      <c r="D1074" s="76"/>
      <c r="E1074" s="7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r="1075">
      <c r="C1075" s="76"/>
      <c r="D1075" s="76"/>
      <c r="E1075" s="7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r="1076">
      <c r="C1076" s="76"/>
      <c r="D1076" s="76"/>
      <c r="E1076" s="7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r="1077">
      <c r="C1077" s="76"/>
      <c r="D1077" s="76"/>
      <c r="E1077" s="7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r="1078">
      <c r="C1078" s="76"/>
      <c r="D1078" s="76"/>
      <c r="E1078" s="7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r="1079">
      <c r="C1079" s="76"/>
      <c r="D1079" s="76"/>
      <c r="E1079" s="7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r="1080">
      <c r="C1080" s="76"/>
      <c r="D1080" s="76"/>
      <c r="E1080" s="7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r="1081">
      <c r="C1081" s="76"/>
      <c r="D1081" s="76"/>
      <c r="E1081" s="7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r="1082">
      <c r="C1082" s="76"/>
      <c r="D1082" s="76"/>
      <c r="E1082" s="7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r="1083">
      <c r="A1083" s="16"/>
      <c r="B1083" s="12"/>
      <c r="C1083" s="12"/>
      <c r="D1083" s="12"/>
      <c r="E1083" s="12"/>
      <c r="F1083" s="12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r="1084">
      <c r="A1084" s="16"/>
      <c r="B1084" s="12"/>
      <c r="C1084" s="12"/>
      <c r="D1084" s="12"/>
      <c r="E1084" s="12"/>
      <c r="F1084" s="12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r="1085">
      <c r="A1085" s="16"/>
      <c r="B1085" s="12"/>
      <c r="C1085" s="12"/>
      <c r="D1085" s="12"/>
      <c r="E1085" s="12"/>
      <c r="F1085" s="12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r="1086">
      <c r="A1086" s="16"/>
      <c r="B1086" s="12"/>
      <c r="C1086" s="12"/>
      <c r="D1086" s="12"/>
      <c r="E1086" s="12"/>
      <c r="F1086" s="12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r="1087">
      <c r="A1087" s="16"/>
      <c r="B1087" s="12"/>
      <c r="C1087" s="12"/>
      <c r="D1087" s="12"/>
      <c r="E1087" s="12"/>
      <c r="F1087" s="12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r="1088">
      <c r="A1088" s="16"/>
      <c r="B1088" s="12"/>
      <c r="C1088" s="12"/>
      <c r="D1088" s="12"/>
      <c r="E1088" s="12"/>
      <c r="F1088" s="12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r="1089">
      <c r="A1089" s="16"/>
      <c r="B1089" s="12"/>
      <c r="C1089" s="12"/>
      <c r="D1089" s="12"/>
      <c r="E1089" s="12"/>
      <c r="F1089" s="12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r="1090">
      <c r="A1090" s="16"/>
      <c r="B1090" s="12"/>
      <c r="C1090" s="12"/>
      <c r="D1090" s="12"/>
      <c r="E1090" s="12"/>
      <c r="F1090" s="12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r="1091">
      <c r="A1091" s="16"/>
      <c r="B1091" s="12"/>
      <c r="C1091" s="12"/>
      <c r="D1091" s="12"/>
      <c r="E1091" s="12"/>
      <c r="F1091" s="12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r="1092">
      <c r="A1092" s="16"/>
      <c r="B1092" s="12"/>
      <c r="C1092" s="12"/>
      <c r="D1092" s="12"/>
      <c r="E1092" s="12"/>
      <c r="F1092" s="12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r="1093">
      <c r="A1093" s="16"/>
      <c r="B1093" s="12"/>
      <c r="C1093" s="12"/>
      <c r="D1093" s="12"/>
      <c r="E1093" s="12"/>
      <c r="F1093" s="12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r="1094">
      <c r="A1094" s="16"/>
      <c r="B1094" s="12"/>
      <c r="C1094" s="12"/>
      <c r="D1094" s="12"/>
      <c r="E1094" s="12"/>
      <c r="F1094" s="12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r="1095">
      <c r="A1095" s="16"/>
      <c r="B1095" s="12"/>
      <c r="C1095" s="12"/>
      <c r="D1095" s="12"/>
      <c r="E1095" s="12"/>
      <c r="F1095" s="12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r="1096">
      <c r="A1096" s="16"/>
      <c r="B1096" s="12"/>
      <c r="C1096" s="12"/>
      <c r="D1096" s="12"/>
      <c r="E1096" s="12"/>
      <c r="F1096" s="12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r="1097">
      <c r="A1097" s="16"/>
      <c r="B1097" s="12"/>
      <c r="C1097" s="12"/>
      <c r="D1097" s="12"/>
      <c r="E1097" s="12"/>
      <c r="F1097" s="12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r="1098">
      <c r="A1098" s="16"/>
      <c r="B1098" s="12"/>
      <c r="C1098" s="12"/>
      <c r="D1098" s="12"/>
      <c r="E1098" s="12"/>
      <c r="F1098" s="12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r="1099">
      <c r="A1099" s="16"/>
      <c r="B1099" s="12"/>
      <c r="C1099" s="12"/>
      <c r="D1099" s="12"/>
      <c r="E1099" s="12"/>
      <c r="F1099" s="12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r="1100">
      <c r="A1100" s="16"/>
      <c r="B1100" s="12"/>
      <c r="C1100" s="12"/>
      <c r="D1100" s="12"/>
      <c r="E1100" s="12"/>
      <c r="F1100" s="12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r="1101">
      <c r="A1101" s="16"/>
      <c r="B1101" s="12"/>
      <c r="C1101" s="12"/>
      <c r="D1101" s="12"/>
      <c r="E1101" s="12"/>
      <c r="F1101" s="12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r="1102">
      <c r="A1102" s="16"/>
      <c r="B1102" s="12"/>
      <c r="C1102" s="12"/>
      <c r="D1102" s="12"/>
      <c r="E1102" s="12"/>
      <c r="F1102" s="12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r="1103">
      <c r="A1103" s="16"/>
      <c r="B1103" s="12"/>
      <c r="C1103" s="12"/>
      <c r="D1103" s="12"/>
      <c r="E1103" s="12"/>
      <c r="F1103" s="12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r="1104">
      <c r="A1104" s="16"/>
      <c r="B1104" s="12"/>
      <c r="C1104" s="12"/>
      <c r="D1104" s="12"/>
      <c r="E1104" s="12"/>
      <c r="F1104" s="12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r="1105">
      <c r="A1105" s="16"/>
      <c r="B1105" s="12"/>
      <c r="C1105" s="12"/>
      <c r="D1105" s="12"/>
      <c r="E1105" s="12"/>
      <c r="F1105" s="12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r="1106">
      <c r="A1106" s="16"/>
      <c r="B1106" s="12"/>
      <c r="C1106" s="12"/>
      <c r="D1106" s="12"/>
      <c r="E1106" s="12"/>
      <c r="F1106" s="12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r="1107">
      <c r="A1107" s="16"/>
      <c r="B1107" s="12"/>
      <c r="C1107" s="12"/>
      <c r="D1107" s="12"/>
      <c r="E1107" s="12"/>
      <c r="F1107" s="12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r="1108">
      <c r="A1108" s="16"/>
      <c r="B1108" s="12"/>
      <c r="C1108" s="12"/>
      <c r="D1108" s="12"/>
      <c r="E1108" s="12"/>
      <c r="F1108" s="12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r="1109">
      <c r="A1109" s="16"/>
      <c r="B1109" s="12"/>
      <c r="C1109" s="12"/>
      <c r="D1109" s="12"/>
      <c r="E1109" s="12"/>
      <c r="F1109" s="12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r="1110">
      <c r="A1110" s="16"/>
      <c r="B1110" s="12"/>
      <c r="C1110" s="12"/>
      <c r="D1110" s="12"/>
      <c r="E1110" s="12"/>
      <c r="F1110" s="12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r="1111">
      <c r="A1111" s="16"/>
      <c r="B1111" s="12"/>
      <c r="C1111" s="12"/>
      <c r="D1111" s="12"/>
      <c r="E1111" s="12"/>
      <c r="F1111" s="12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r="1112">
      <c r="A1112" s="16"/>
      <c r="B1112" s="12"/>
      <c r="C1112" s="12"/>
      <c r="D1112" s="12"/>
      <c r="E1112" s="12"/>
      <c r="F1112" s="12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r="1113">
      <c r="A1113" s="16"/>
      <c r="B1113" s="12"/>
      <c r="C1113" s="12"/>
      <c r="D1113" s="12"/>
      <c r="E1113" s="12"/>
      <c r="F1113" s="12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r="1114">
      <c r="A1114" s="16"/>
      <c r="B1114" s="12"/>
      <c r="C1114" s="12"/>
      <c r="D1114" s="12"/>
      <c r="E1114" s="12"/>
      <c r="F1114" s="12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r="1115">
      <c r="A1115" s="16"/>
      <c r="B1115" s="12"/>
      <c r="C1115" s="12"/>
      <c r="D1115" s="12"/>
      <c r="E1115" s="12"/>
      <c r="F1115" s="12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r="1116">
      <c r="A1116" s="16"/>
      <c r="B1116" s="12"/>
      <c r="C1116" s="12"/>
      <c r="D1116" s="12"/>
      <c r="E1116" s="12"/>
      <c r="F1116" s="12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r="1117">
      <c r="A1117" s="16"/>
      <c r="B1117" s="12"/>
      <c r="C1117" s="12"/>
      <c r="D1117" s="12"/>
      <c r="E1117" s="12"/>
      <c r="F1117" s="12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r="1118">
      <c r="A1118" s="16"/>
      <c r="B1118" s="12"/>
      <c r="C1118" s="12"/>
      <c r="D1118" s="12"/>
      <c r="E1118" s="12"/>
      <c r="F1118" s="12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r="1119">
      <c r="A1119" s="16"/>
      <c r="B1119" s="12"/>
      <c r="C1119" s="12"/>
      <c r="D1119" s="12"/>
      <c r="E1119" s="12"/>
      <c r="F1119" s="12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r="1120">
      <c r="A1120" s="16"/>
      <c r="B1120" s="12"/>
      <c r="C1120" s="12"/>
      <c r="D1120" s="12"/>
      <c r="E1120" s="12"/>
      <c r="F1120" s="12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r="1121">
      <c r="A1121" s="16"/>
      <c r="B1121" s="12"/>
      <c r="C1121" s="12"/>
      <c r="D1121" s="12"/>
      <c r="E1121" s="12"/>
      <c r="F1121" s="12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r="1122">
      <c r="A1122" s="16"/>
      <c r="B1122" s="12"/>
      <c r="C1122" s="12"/>
      <c r="D1122" s="12"/>
      <c r="E1122" s="12"/>
      <c r="F1122" s="12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r="1123">
      <c r="A1123" s="16"/>
      <c r="B1123" s="12"/>
      <c r="C1123" s="12"/>
      <c r="D1123" s="12"/>
      <c r="E1123" s="12"/>
      <c r="F1123" s="12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r="1124">
      <c r="A1124" s="16"/>
      <c r="B1124" s="12"/>
      <c r="C1124" s="12"/>
      <c r="D1124" s="12"/>
      <c r="E1124" s="12"/>
      <c r="F1124" s="12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r="1125">
      <c r="A1125" s="16"/>
      <c r="B1125" s="12"/>
      <c r="C1125" s="12"/>
      <c r="D1125" s="12"/>
      <c r="E1125" s="12"/>
      <c r="F1125" s="12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r="1126">
      <c r="A1126" s="16"/>
      <c r="B1126" s="12"/>
      <c r="C1126" s="12"/>
      <c r="D1126" s="12"/>
      <c r="E1126" s="12"/>
      <c r="F1126" s="12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r="1127">
      <c r="A1127" s="16"/>
      <c r="B1127" s="12"/>
      <c r="C1127" s="12"/>
      <c r="D1127" s="12"/>
      <c r="E1127" s="12"/>
      <c r="F1127" s="12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r="1128">
      <c r="A1128" s="16"/>
      <c r="B1128" s="12"/>
      <c r="C1128" s="12"/>
      <c r="D1128" s="12"/>
      <c r="E1128" s="12"/>
      <c r="F1128" s="12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r="1129">
      <c r="A1129" s="16"/>
      <c r="B1129" s="12"/>
      <c r="C1129" s="12"/>
      <c r="D1129" s="12"/>
      <c r="E1129" s="12"/>
      <c r="F1129" s="12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r="1130">
      <c r="A1130" s="16"/>
      <c r="B1130" s="12"/>
      <c r="C1130" s="12"/>
      <c r="D1130" s="12"/>
      <c r="E1130" s="12"/>
      <c r="F1130" s="12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r="1131">
      <c r="A1131" s="16"/>
      <c r="B1131" s="12"/>
      <c r="C1131" s="12"/>
      <c r="D1131" s="12"/>
      <c r="E1131" s="12"/>
      <c r="F1131" s="12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r="1132">
      <c r="A1132" s="16"/>
      <c r="B1132" s="12"/>
      <c r="C1132" s="12"/>
      <c r="D1132" s="12"/>
      <c r="E1132" s="12"/>
      <c r="F1132" s="12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r="1133">
      <c r="A1133" s="16"/>
      <c r="B1133" s="12"/>
      <c r="C1133" s="12"/>
      <c r="D1133" s="12"/>
      <c r="E1133" s="12"/>
      <c r="F1133" s="12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r="1134">
      <c r="A1134" s="16"/>
      <c r="B1134" s="12"/>
      <c r="C1134" s="12"/>
      <c r="D1134" s="12"/>
      <c r="E1134" s="12"/>
      <c r="F1134" s="12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r="1135">
      <c r="A1135" s="16"/>
      <c r="B1135" s="12"/>
      <c r="C1135" s="12"/>
      <c r="D1135" s="12"/>
      <c r="E1135" s="12"/>
      <c r="F1135" s="12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r="1136">
      <c r="A1136" s="16"/>
      <c r="B1136" s="12"/>
      <c r="C1136" s="12"/>
      <c r="D1136" s="12"/>
      <c r="E1136" s="12"/>
      <c r="F1136" s="12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r="1137">
      <c r="A1137" s="16"/>
      <c r="B1137" s="12"/>
      <c r="C1137" s="12"/>
      <c r="D1137" s="12"/>
      <c r="E1137" s="12"/>
      <c r="F1137" s="12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r="1138">
      <c r="A1138" s="16"/>
      <c r="B1138" s="12"/>
      <c r="C1138" s="12"/>
      <c r="D1138" s="12"/>
      <c r="E1138" s="12"/>
      <c r="F1138" s="12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r="1139">
      <c r="A1139" s="16"/>
      <c r="B1139" s="12"/>
      <c r="C1139" s="12"/>
      <c r="D1139" s="12"/>
      <c r="E1139" s="12"/>
      <c r="F1139" s="12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r="1140">
      <c r="A1140" s="16"/>
      <c r="B1140" s="12"/>
      <c r="C1140" s="12"/>
      <c r="D1140" s="12"/>
      <c r="E1140" s="12"/>
      <c r="F1140" s="12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r="1141">
      <c r="A1141" s="16"/>
      <c r="B1141" s="12"/>
      <c r="C1141" s="12"/>
      <c r="D1141" s="12"/>
      <c r="E1141" s="12"/>
      <c r="F1141" s="12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r="1142">
      <c r="A1142" s="16"/>
      <c r="B1142" s="12"/>
      <c r="C1142" s="12"/>
      <c r="D1142" s="12"/>
      <c r="E1142" s="12"/>
      <c r="F1142" s="12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r="1143">
      <c r="A1143" s="16"/>
      <c r="B1143" s="12"/>
      <c r="C1143" s="12"/>
      <c r="D1143" s="12"/>
      <c r="E1143" s="12"/>
      <c r="F1143" s="12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r="1144">
      <c r="A1144" s="16"/>
      <c r="B1144" s="12"/>
      <c r="C1144" s="12"/>
      <c r="D1144" s="12"/>
      <c r="E1144" s="12"/>
      <c r="F1144" s="12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r="1145">
      <c r="A1145" s="16"/>
      <c r="B1145" s="12"/>
      <c r="C1145" s="12"/>
      <c r="D1145" s="12"/>
      <c r="E1145" s="12"/>
      <c r="F1145" s="12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r="1146">
      <c r="A1146" s="16"/>
      <c r="B1146" s="12"/>
      <c r="C1146" s="12"/>
      <c r="D1146" s="12"/>
      <c r="E1146" s="12"/>
      <c r="F1146" s="12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r="1147">
      <c r="A1147" s="16"/>
      <c r="B1147" s="12"/>
      <c r="C1147" s="12"/>
      <c r="D1147" s="12"/>
      <c r="E1147" s="12"/>
      <c r="F1147" s="12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r="1148">
      <c r="A1148" s="16"/>
      <c r="B1148" s="12"/>
      <c r="C1148" s="12"/>
      <c r="D1148" s="12"/>
      <c r="E1148" s="12"/>
      <c r="F1148" s="12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r="1149">
      <c r="A1149" s="16"/>
      <c r="B1149" s="12"/>
      <c r="C1149" s="12"/>
      <c r="D1149" s="12"/>
      <c r="E1149" s="12"/>
      <c r="F1149" s="12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r="1150">
      <c r="A1150" s="16"/>
      <c r="B1150" s="12"/>
      <c r="C1150" s="12"/>
      <c r="D1150" s="12"/>
      <c r="E1150" s="12"/>
      <c r="F1150" s="12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r="1151">
      <c r="A1151" s="16"/>
      <c r="B1151" s="12"/>
      <c r="C1151" s="12"/>
      <c r="D1151" s="12"/>
      <c r="E1151" s="12"/>
      <c r="F1151" s="12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r="1152">
      <c r="A1152" s="16"/>
      <c r="B1152" s="12"/>
      <c r="C1152" s="12"/>
      <c r="D1152" s="12"/>
      <c r="E1152" s="12"/>
      <c r="F1152" s="12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r="1153">
      <c r="A1153" s="16"/>
      <c r="B1153" s="12"/>
      <c r="C1153" s="12"/>
      <c r="D1153" s="12"/>
      <c r="E1153" s="12"/>
      <c r="F1153" s="12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r="1154">
      <c r="A1154" s="16"/>
      <c r="B1154" s="12"/>
      <c r="C1154" s="12"/>
      <c r="D1154" s="12"/>
      <c r="E1154" s="12"/>
      <c r="F1154" s="12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r="1155">
      <c r="A1155" s="16"/>
      <c r="B1155" s="12"/>
      <c r="C1155" s="12"/>
      <c r="D1155" s="12"/>
      <c r="E1155" s="12"/>
      <c r="F1155" s="12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r="1156">
      <c r="A1156" s="16"/>
      <c r="B1156" s="12"/>
      <c r="C1156" s="12"/>
      <c r="D1156" s="12"/>
      <c r="E1156" s="12"/>
      <c r="F1156" s="12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r="1157">
      <c r="A1157" s="16"/>
      <c r="B1157" s="12"/>
      <c r="C1157" s="12"/>
      <c r="D1157" s="12"/>
      <c r="E1157" s="12"/>
      <c r="F1157" s="12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r="1158">
      <c r="A1158" s="16"/>
      <c r="B1158" s="12"/>
      <c r="C1158" s="12"/>
      <c r="D1158" s="12"/>
      <c r="E1158" s="12"/>
      <c r="F1158" s="12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r="1159">
      <c r="A1159" s="16"/>
      <c r="B1159" s="12"/>
      <c r="C1159" s="12"/>
      <c r="D1159" s="12"/>
      <c r="E1159" s="12"/>
      <c r="F1159" s="12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r="1160">
      <c r="A1160" s="16"/>
      <c r="B1160" s="12"/>
      <c r="C1160" s="12"/>
      <c r="D1160" s="12"/>
      <c r="E1160" s="12"/>
      <c r="F1160" s="12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r="1161">
      <c r="A1161" s="16"/>
      <c r="B1161" s="12"/>
      <c r="C1161" s="12"/>
      <c r="D1161" s="12"/>
      <c r="E1161" s="12"/>
      <c r="F1161" s="12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r="1162">
      <c r="A1162" s="16"/>
      <c r="B1162" s="12"/>
      <c r="C1162" s="12"/>
      <c r="D1162" s="12"/>
      <c r="E1162" s="12"/>
      <c r="F1162" s="12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r="1163">
      <c r="A1163" s="16"/>
      <c r="B1163" s="12"/>
      <c r="C1163" s="12"/>
      <c r="D1163" s="12"/>
      <c r="E1163" s="12"/>
      <c r="F1163" s="12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r="1164">
      <c r="A1164" s="16"/>
      <c r="B1164" s="12"/>
      <c r="C1164" s="12"/>
      <c r="D1164" s="12"/>
      <c r="E1164" s="12"/>
      <c r="F1164" s="12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r="1165">
      <c r="A1165" s="16"/>
      <c r="B1165" s="12"/>
      <c r="C1165" s="12"/>
      <c r="D1165" s="12"/>
      <c r="E1165" s="12"/>
      <c r="F1165" s="12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r="1166">
      <c r="A1166" s="16"/>
      <c r="B1166" s="12"/>
      <c r="C1166" s="12"/>
      <c r="D1166" s="12"/>
      <c r="E1166" s="12"/>
      <c r="F1166" s="12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r="1167">
      <c r="A1167" s="16"/>
      <c r="B1167" s="12"/>
      <c r="C1167" s="12"/>
      <c r="D1167" s="12"/>
      <c r="E1167" s="12"/>
      <c r="F1167" s="12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r="1168">
      <c r="A1168" s="16"/>
      <c r="B1168" s="12"/>
      <c r="C1168" s="12"/>
      <c r="D1168" s="12"/>
      <c r="E1168" s="12"/>
      <c r="F1168" s="12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r="1169">
      <c r="A1169" s="16"/>
      <c r="B1169" s="12"/>
      <c r="C1169" s="12"/>
      <c r="D1169" s="12"/>
      <c r="E1169" s="12"/>
      <c r="F1169" s="12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r="1170">
      <c r="A1170" s="16"/>
      <c r="B1170" s="12"/>
      <c r="C1170" s="12"/>
      <c r="D1170" s="12"/>
      <c r="E1170" s="12"/>
      <c r="F1170" s="12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r="1171">
      <c r="A1171" s="16"/>
      <c r="B1171" s="12"/>
      <c r="C1171" s="12"/>
      <c r="D1171" s="12"/>
      <c r="E1171" s="12"/>
      <c r="F1171" s="12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r="1172">
      <c r="A1172" s="16"/>
      <c r="B1172" s="12"/>
      <c r="C1172" s="12"/>
      <c r="D1172" s="12"/>
      <c r="E1172" s="12"/>
      <c r="F1172" s="12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r="1173">
      <c r="A1173" s="16"/>
      <c r="B1173" s="12"/>
      <c r="C1173" s="12"/>
      <c r="D1173" s="12"/>
      <c r="E1173" s="12"/>
      <c r="F1173" s="12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r="1174">
      <c r="A1174" s="16"/>
      <c r="B1174" s="12"/>
      <c r="C1174" s="12"/>
      <c r="D1174" s="12"/>
      <c r="E1174" s="12"/>
      <c r="F1174" s="12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r="1175">
      <c r="A1175" s="16"/>
      <c r="B1175" s="12"/>
      <c r="C1175" s="12"/>
      <c r="D1175" s="12"/>
      <c r="E1175" s="12"/>
      <c r="F1175" s="12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r="1176">
      <c r="A1176" s="16"/>
      <c r="B1176" s="12"/>
      <c r="C1176" s="12"/>
      <c r="D1176" s="12"/>
      <c r="E1176" s="12"/>
      <c r="F1176" s="12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r="1177">
      <c r="A1177" s="16"/>
      <c r="B1177" s="12"/>
      <c r="C1177" s="12"/>
      <c r="D1177" s="12"/>
      <c r="E1177" s="12"/>
      <c r="F1177" s="12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r="1178">
      <c r="A1178" s="16"/>
      <c r="B1178" s="12"/>
      <c r="C1178" s="12"/>
      <c r="D1178" s="12"/>
      <c r="E1178" s="12"/>
      <c r="F1178" s="12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r="1179">
      <c r="A1179" s="16"/>
      <c r="B1179" s="12"/>
      <c r="C1179" s="12"/>
      <c r="D1179" s="12"/>
      <c r="E1179" s="12"/>
      <c r="F1179" s="12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r="1180">
      <c r="A1180" s="16"/>
      <c r="B1180" s="12"/>
      <c r="C1180" s="12"/>
      <c r="D1180" s="12"/>
      <c r="E1180" s="12"/>
      <c r="F1180" s="12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r="1181">
      <c r="A1181" s="16"/>
      <c r="B1181" s="12"/>
      <c r="C1181" s="12"/>
      <c r="D1181" s="12"/>
      <c r="E1181" s="12"/>
      <c r="F1181" s="12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r="1182">
      <c r="A1182" s="16"/>
      <c r="B1182" s="12"/>
      <c r="C1182" s="12"/>
      <c r="D1182" s="12"/>
      <c r="E1182" s="12"/>
      <c r="F1182" s="12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r="1183">
      <c r="A1183" s="16"/>
      <c r="B1183" s="12"/>
      <c r="C1183" s="12"/>
      <c r="D1183" s="12"/>
      <c r="E1183" s="12"/>
      <c r="F1183" s="12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r="1184">
      <c r="A1184" s="16"/>
      <c r="B1184" s="12"/>
      <c r="C1184" s="12"/>
      <c r="D1184" s="12"/>
      <c r="E1184" s="12"/>
      <c r="F1184" s="12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r="1185">
      <c r="A1185" s="16"/>
      <c r="B1185" s="12"/>
      <c r="C1185" s="12"/>
      <c r="D1185" s="12"/>
      <c r="E1185" s="12"/>
      <c r="F1185" s="12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r="1186">
      <c r="A1186" s="16"/>
      <c r="B1186" s="12"/>
      <c r="C1186" s="12"/>
      <c r="D1186" s="12"/>
      <c r="E1186" s="12"/>
      <c r="F1186" s="12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r="1187">
      <c r="A1187" s="16"/>
      <c r="B1187" s="12"/>
      <c r="C1187" s="12"/>
      <c r="D1187" s="12"/>
      <c r="E1187" s="12"/>
      <c r="F1187" s="12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r="1188">
      <c r="A1188" s="16"/>
      <c r="B1188" s="12"/>
      <c r="C1188" s="12"/>
      <c r="D1188" s="12"/>
      <c r="E1188" s="12"/>
      <c r="F1188" s="12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r="1189">
      <c r="A1189" s="16"/>
      <c r="B1189" s="12"/>
      <c r="C1189" s="12"/>
      <c r="D1189" s="12"/>
      <c r="E1189" s="12"/>
      <c r="F1189" s="12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r="1190">
      <c r="A1190" s="16"/>
      <c r="B1190" s="12"/>
      <c r="C1190" s="12"/>
      <c r="D1190" s="12"/>
      <c r="E1190" s="12"/>
      <c r="F1190" s="12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r="1191">
      <c r="A1191" s="16"/>
      <c r="B1191" s="12"/>
      <c r="C1191" s="12"/>
      <c r="D1191" s="12"/>
      <c r="E1191" s="12"/>
      <c r="F1191" s="12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r="1192">
      <c r="A1192" s="16"/>
      <c r="B1192" s="12"/>
      <c r="C1192" s="12"/>
      <c r="D1192" s="12"/>
      <c r="E1192" s="12"/>
      <c r="F1192" s="12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r="1193">
      <c r="A1193" s="16"/>
      <c r="B1193" s="12"/>
      <c r="C1193" s="12"/>
      <c r="D1193" s="12"/>
      <c r="E1193" s="12"/>
      <c r="F1193" s="12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r="1194">
      <c r="A1194" s="16"/>
      <c r="B1194" s="12"/>
      <c r="C1194" s="12"/>
      <c r="D1194" s="12"/>
      <c r="E1194" s="12"/>
      <c r="F1194" s="12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r="1195">
      <c r="A1195" s="16"/>
      <c r="B1195" s="12"/>
      <c r="C1195" s="12"/>
      <c r="D1195" s="12"/>
      <c r="E1195" s="12"/>
      <c r="F1195" s="12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r="1196">
      <c r="A1196" s="16"/>
      <c r="B1196" s="12"/>
      <c r="C1196" s="12"/>
      <c r="D1196" s="12"/>
      <c r="E1196" s="12"/>
      <c r="F1196" s="12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r="1197">
      <c r="A1197" s="16"/>
      <c r="B1197" s="12"/>
      <c r="C1197" s="12"/>
      <c r="D1197" s="12"/>
      <c r="E1197" s="12"/>
      <c r="F1197" s="12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r="1198">
      <c r="A1198" s="16"/>
      <c r="B1198" s="12"/>
      <c r="C1198" s="12"/>
      <c r="D1198" s="12"/>
      <c r="E1198" s="12"/>
      <c r="F1198" s="12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r="1199">
      <c r="A1199" s="16"/>
      <c r="B1199" s="12"/>
      <c r="C1199" s="12"/>
      <c r="D1199" s="12"/>
      <c r="E1199" s="12"/>
      <c r="F1199" s="12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r="1200">
      <c r="A1200" s="16"/>
      <c r="B1200" s="12"/>
      <c r="C1200" s="12"/>
      <c r="D1200" s="12"/>
      <c r="E1200" s="12"/>
      <c r="F1200" s="12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r="1201">
      <c r="A1201" s="16"/>
      <c r="B1201" s="12"/>
      <c r="C1201" s="12"/>
      <c r="D1201" s="12"/>
      <c r="E1201" s="12"/>
      <c r="F1201" s="12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r="1202">
      <c r="A1202" s="16"/>
      <c r="B1202" s="12"/>
      <c r="C1202" s="12"/>
      <c r="D1202" s="12"/>
      <c r="E1202" s="12"/>
      <c r="F1202" s="12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r="1203">
      <c r="A1203" s="16"/>
      <c r="B1203" s="12"/>
      <c r="C1203" s="12"/>
      <c r="D1203" s="12"/>
      <c r="E1203" s="12"/>
      <c r="F1203" s="12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r="1204">
      <c r="A1204" s="16"/>
      <c r="B1204" s="12"/>
      <c r="C1204" s="12"/>
      <c r="D1204" s="12"/>
      <c r="E1204" s="12"/>
      <c r="F1204" s="12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r="1205">
      <c r="A1205" s="16"/>
      <c r="B1205" s="12"/>
      <c r="C1205" s="12"/>
      <c r="D1205" s="12"/>
      <c r="E1205" s="12"/>
      <c r="F1205" s="12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r="1206">
      <c r="A1206" s="16"/>
      <c r="B1206" s="12"/>
      <c r="C1206" s="12"/>
      <c r="D1206" s="12"/>
      <c r="E1206" s="12"/>
      <c r="F1206" s="12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r="1207">
      <c r="A1207" s="16"/>
      <c r="B1207" s="12"/>
      <c r="C1207" s="12"/>
      <c r="D1207" s="12"/>
      <c r="E1207" s="12"/>
      <c r="F1207" s="12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r="1208">
      <c r="A1208" s="16"/>
      <c r="B1208" s="12"/>
      <c r="C1208" s="12"/>
      <c r="D1208" s="12"/>
      <c r="E1208" s="12"/>
      <c r="F1208" s="12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r="1209">
      <c r="A1209" s="16"/>
      <c r="B1209" s="12"/>
      <c r="C1209" s="12"/>
      <c r="D1209" s="12"/>
      <c r="E1209" s="12"/>
      <c r="F1209" s="12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r="1210">
      <c r="A1210" s="16"/>
      <c r="B1210" s="12"/>
      <c r="C1210" s="12"/>
      <c r="D1210" s="12"/>
      <c r="E1210" s="12"/>
      <c r="F1210" s="12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r="1211">
      <c r="A1211" s="16"/>
      <c r="B1211" s="12"/>
      <c r="C1211" s="12"/>
      <c r="D1211" s="12"/>
      <c r="E1211" s="12"/>
      <c r="F1211" s="12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r="1212">
      <c r="A1212" s="16"/>
      <c r="B1212" s="12"/>
      <c r="C1212" s="12"/>
      <c r="D1212" s="12"/>
      <c r="E1212" s="12"/>
      <c r="F1212" s="12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r="1213">
      <c r="A1213" s="16"/>
      <c r="B1213" s="12"/>
      <c r="C1213" s="12"/>
      <c r="D1213" s="12"/>
      <c r="E1213" s="12"/>
      <c r="F1213" s="12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r="1214">
      <c r="A1214" s="16"/>
      <c r="B1214" s="12"/>
      <c r="C1214" s="12"/>
      <c r="D1214" s="12"/>
      <c r="E1214" s="12"/>
      <c r="F1214" s="12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r="1215">
      <c r="A1215" s="16"/>
      <c r="B1215" s="12"/>
      <c r="C1215" s="12"/>
      <c r="D1215" s="12"/>
      <c r="E1215" s="12"/>
      <c r="F1215" s="12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r="1216">
      <c r="A1216" s="16"/>
      <c r="B1216" s="12"/>
      <c r="C1216" s="12"/>
      <c r="D1216" s="12"/>
      <c r="E1216" s="12"/>
      <c r="F1216" s="12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r="1217">
      <c r="A1217" s="16"/>
      <c r="B1217" s="12"/>
      <c r="C1217" s="12"/>
      <c r="D1217" s="12"/>
      <c r="E1217" s="12"/>
      <c r="F1217" s="12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r="1218">
      <c r="A1218" s="16"/>
      <c r="B1218" s="12"/>
      <c r="C1218" s="12"/>
      <c r="D1218" s="12"/>
      <c r="E1218" s="12"/>
      <c r="F1218" s="12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r="1219">
      <c r="A1219" s="16"/>
      <c r="B1219" s="12"/>
      <c r="C1219" s="12"/>
      <c r="D1219" s="12"/>
      <c r="E1219" s="12"/>
      <c r="F1219" s="12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r="1220">
      <c r="A1220" s="16"/>
      <c r="B1220" s="12"/>
      <c r="C1220" s="12"/>
      <c r="D1220" s="12"/>
      <c r="E1220" s="12"/>
      <c r="F1220" s="12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r="1221">
      <c r="A1221" s="16"/>
      <c r="B1221" s="12"/>
      <c r="C1221" s="12"/>
      <c r="D1221" s="12"/>
      <c r="E1221" s="12"/>
      <c r="F1221" s="12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r="1222">
      <c r="A1222" s="16"/>
      <c r="B1222" s="12"/>
      <c r="C1222" s="12"/>
      <c r="D1222" s="12"/>
      <c r="E1222" s="12"/>
      <c r="F1222" s="12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r="1223">
      <c r="A1223" s="16"/>
      <c r="B1223" s="12"/>
      <c r="C1223" s="12"/>
      <c r="D1223" s="12"/>
      <c r="E1223" s="12"/>
      <c r="F1223" s="12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r="1224">
      <c r="A1224" s="16"/>
      <c r="B1224" s="12"/>
      <c r="C1224" s="12"/>
      <c r="D1224" s="12"/>
      <c r="E1224" s="12"/>
      <c r="F1224" s="12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r="1225">
      <c r="A1225" s="16"/>
      <c r="B1225" s="12"/>
      <c r="C1225" s="12"/>
      <c r="D1225" s="12"/>
      <c r="E1225" s="12"/>
      <c r="F1225" s="12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r="1226">
      <c r="A1226" s="16"/>
      <c r="B1226" s="12"/>
      <c r="C1226" s="12"/>
      <c r="D1226" s="12"/>
      <c r="E1226" s="12"/>
      <c r="F1226" s="12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r="1227">
      <c r="A1227" s="16"/>
      <c r="B1227" s="12"/>
      <c r="C1227" s="12"/>
      <c r="D1227" s="12"/>
      <c r="E1227" s="12"/>
      <c r="F1227" s="12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r="1228">
      <c r="A1228" s="16"/>
      <c r="B1228" s="12"/>
      <c r="C1228" s="12"/>
      <c r="D1228" s="12"/>
      <c r="E1228" s="12"/>
      <c r="F1228" s="12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r="1229">
      <c r="A1229" s="16"/>
      <c r="B1229" s="12"/>
      <c r="C1229" s="12"/>
      <c r="D1229" s="12"/>
      <c r="E1229" s="12"/>
      <c r="F1229" s="12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r="1230">
      <c r="A1230" s="16"/>
      <c r="B1230" s="12"/>
      <c r="C1230" s="12"/>
      <c r="D1230" s="12"/>
      <c r="E1230" s="12"/>
      <c r="F1230" s="12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r="1231">
      <c r="A1231" s="16"/>
      <c r="B1231" s="12"/>
      <c r="C1231" s="12"/>
      <c r="D1231" s="12"/>
      <c r="E1231" s="12"/>
      <c r="F1231" s="12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r="1232">
      <c r="A1232" s="16"/>
      <c r="B1232" s="12"/>
      <c r="C1232" s="12"/>
      <c r="D1232" s="12"/>
      <c r="E1232" s="12"/>
      <c r="F1232" s="12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r="1233">
      <c r="A1233" s="16"/>
      <c r="B1233" s="12"/>
      <c r="C1233" s="12"/>
      <c r="D1233" s="12"/>
      <c r="E1233" s="12"/>
      <c r="F1233" s="12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r="1234">
      <c r="A1234" s="16"/>
      <c r="B1234" s="12"/>
      <c r="C1234" s="12"/>
      <c r="D1234" s="12"/>
      <c r="E1234" s="12"/>
      <c r="F1234" s="12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r="1235">
      <c r="A1235" s="16"/>
      <c r="B1235" s="12"/>
      <c r="C1235" s="12"/>
      <c r="D1235" s="12"/>
      <c r="E1235" s="12"/>
      <c r="F1235" s="12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r="1236">
      <c r="A1236" s="16"/>
      <c r="B1236" s="12"/>
      <c r="C1236" s="12"/>
      <c r="D1236" s="12"/>
      <c r="E1236" s="12"/>
      <c r="F1236" s="12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r="1237">
      <c r="A1237" s="16"/>
      <c r="B1237" s="12"/>
      <c r="C1237" s="12"/>
      <c r="D1237" s="12"/>
      <c r="E1237" s="12"/>
      <c r="F1237" s="12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r="1238">
      <c r="A1238" s="16"/>
      <c r="B1238" s="12"/>
      <c r="C1238" s="12"/>
      <c r="D1238" s="12"/>
      <c r="E1238" s="12"/>
      <c r="F1238" s="12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r="1239">
      <c r="A1239" s="16"/>
      <c r="B1239" s="12"/>
      <c r="C1239" s="12"/>
      <c r="D1239" s="12"/>
      <c r="E1239" s="12"/>
      <c r="F1239" s="12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r="1240">
      <c r="A1240" s="16"/>
      <c r="B1240" s="12"/>
      <c r="C1240" s="12"/>
      <c r="D1240" s="12"/>
      <c r="E1240" s="12"/>
      <c r="F1240" s="12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r="1241">
      <c r="A1241" s="16"/>
      <c r="B1241" s="12"/>
      <c r="C1241" s="12"/>
      <c r="D1241" s="12"/>
      <c r="E1241" s="12"/>
      <c r="F1241" s="12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r="1242">
      <c r="A1242" s="16"/>
      <c r="B1242" s="12"/>
      <c r="C1242" s="12"/>
      <c r="D1242" s="12"/>
      <c r="E1242" s="12"/>
      <c r="F1242" s="12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r="1243">
      <c r="A1243" s="16"/>
      <c r="B1243" s="12"/>
      <c r="C1243" s="12"/>
      <c r="D1243" s="12"/>
      <c r="E1243" s="12"/>
      <c r="F1243" s="12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r="1244">
      <c r="A1244" s="16"/>
      <c r="B1244" s="12"/>
      <c r="C1244" s="12"/>
      <c r="D1244" s="12"/>
      <c r="E1244" s="12"/>
      <c r="F1244" s="12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r="1245">
      <c r="A1245" s="16"/>
      <c r="B1245" s="12"/>
      <c r="C1245" s="12"/>
      <c r="D1245" s="12"/>
      <c r="E1245" s="12"/>
      <c r="F1245" s="12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r="1246">
      <c r="A1246" s="16"/>
      <c r="B1246" s="12"/>
      <c r="C1246" s="12"/>
      <c r="D1246" s="12"/>
      <c r="E1246" s="12"/>
      <c r="F1246" s="12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r="1247">
      <c r="A1247" s="16"/>
      <c r="B1247" s="12"/>
      <c r="C1247" s="12"/>
      <c r="D1247" s="12"/>
      <c r="E1247" s="12"/>
      <c r="F1247" s="12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r="1248">
      <c r="A1248" s="16"/>
      <c r="B1248" s="12"/>
      <c r="C1248" s="12"/>
      <c r="D1248" s="12"/>
      <c r="E1248" s="12"/>
      <c r="F1248" s="12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r="1249">
      <c r="A1249" s="16"/>
      <c r="B1249" s="12"/>
      <c r="C1249" s="12"/>
      <c r="D1249" s="12"/>
      <c r="E1249" s="12"/>
      <c r="F1249" s="12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r="1250">
      <c r="A1250" s="16"/>
      <c r="B1250" s="12"/>
      <c r="C1250" s="12"/>
      <c r="D1250" s="12"/>
      <c r="E1250" s="12"/>
      <c r="F1250" s="12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r="1251">
      <c r="A1251" s="16"/>
      <c r="B1251" s="12"/>
      <c r="C1251" s="12"/>
      <c r="D1251" s="12"/>
      <c r="E1251" s="12"/>
      <c r="F1251" s="12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r="1252">
      <c r="A1252" s="16"/>
      <c r="B1252" s="12"/>
      <c r="C1252" s="12"/>
      <c r="D1252" s="12"/>
      <c r="E1252" s="12"/>
      <c r="F1252" s="12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r="1253">
      <c r="A1253" s="16"/>
      <c r="B1253" s="12"/>
      <c r="C1253" s="12"/>
      <c r="D1253" s="12"/>
      <c r="E1253" s="12"/>
      <c r="F1253" s="12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r="1254">
      <c r="A1254" s="16"/>
      <c r="B1254" s="12"/>
      <c r="C1254" s="12"/>
      <c r="D1254" s="12"/>
      <c r="E1254" s="12"/>
      <c r="F1254" s="12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r="1255">
      <c r="A1255" s="16"/>
      <c r="B1255" s="12"/>
      <c r="C1255" s="12"/>
      <c r="D1255" s="12"/>
      <c r="E1255" s="12"/>
      <c r="F1255" s="12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r="1256">
      <c r="A1256" s="16"/>
      <c r="B1256" s="12"/>
      <c r="C1256" s="12"/>
      <c r="D1256" s="12"/>
      <c r="E1256" s="12"/>
      <c r="F1256" s="12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r="1257">
      <c r="A1257" s="16"/>
      <c r="B1257" s="12"/>
      <c r="C1257" s="12"/>
      <c r="D1257" s="12"/>
      <c r="E1257" s="12"/>
      <c r="F1257" s="12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r="1258">
      <c r="A1258" s="16"/>
      <c r="B1258" s="12"/>
      <c r="C1258" s="12"/>
      <c r="D1258" s="12"/>
      <c r="E1258" s="12"/>
      <c r="F1258" s="12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r="1259">
      <c r="A1259" s="16"/>
      <c r="B1259" s="12"/>
      <c r="C1259" s="12"/>
      <c r="D1259" s="12"/>
      <c r="E1259" s="12"/>
      <c r="F1259" s="12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r="1260">
      <c r="A1260" s="16"/>
      <c r="B1260" s="12"/>
      <c r="C1260" s="12"/>
      <c r="D1260" s="12"/>
      <c r="E1260" s="12"/>
      <c r="F1260" s="12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r="1261">
      <c r="A1261" s="16"/>
      <c r="B1261" s="12"/>
      <c r="C1261" s="12"/>
      <c r="D1261" s="12"/>
      <c r="E1261" s="12"/>
      <c r="F1261" s="12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r="1262">
      <c r="A1262" s="16"/>
      <c r="B1262" s="12"/>
      <c r="C1262" s="12"/>
      <c r="D1262" s="12"/>
      <c r="E1262" s="12"/>
      <c r="F1262" s="12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r="1263">
      <c r="A1263" s="16"/>
      <c r="B1263" s="12"/>
      <c r="C1263" s="12"/>
      <c r="D1263" s="12"/>
      <c r="E1263" s="12"/>
      <c r="F1263" s="12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r="1264">
      <c r="A1264" s="16"/>
      <c r="B1264" s="12"/>
      <c r="C1264" s="12"/>
      <c r="D1264" s="12"/>
      <c r="E1264" s="12"/>
      <c r="F1264" s="12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r="1265">
      <c r="A1265" s="16"/>
      <c r="B1265" s="12"/>
      <c r="C1265" s="12"/>
      <c r="D1265" s="12"/>
      <c r="E1265" s="12"/>
      <c r="F1265" s="12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r="1266">
      <c r="A1266" s="16"/>
      <c r="B1266" s="12"/>
      <c r="C1266" s="12"/>
      <c r="D1266" s="12"/>
      <c r="E1266" s="12"/>
      <c r="F1266" s="12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r="1267">
      <c r="A1267" s="16"/>
      <c r="B1267" s="12"/>
      <c r="C1267" s="12"/>
      <c r="D1267" s="12"/>
      <c r="E1267" s="12"/>
      <c r="F1267" s="12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r="1268">
      <c r="A1268" s="16"/>
      <c r="B1268" s="12"/>
      <c r="C1268" s="12"/>
      <c r="D1268" s="12"/>
      <c r="E1268" s="12"/>
      <c r="F1268" s="12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r="1269">
      <c r="A1269" s="16"/>
      <c r="B1269" s="12"/>
      <c r="C1269" s="12"/>
      <c r="D1269" s="12"/>
      <c r="E1269" s="12"/>
      <c r="F1269" s="12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r="1270">
      <c r="A1270" s="16"/>
      <c r="B1270" s="12"/>
      <c r="C1270" s="12"/>
      <c r="D1270" s="12"/>
      <c r="E1270" s="12"/>
      <c r="F1270" s="12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r="1271">
      <c r="A1271" s="16"/>
      <c r="B1271" s="12"/>
      <c r="C1271" s="12"/>
      <c r="D1271" s="12"/>
      <c r="E1271" s="12"/>
      <c r="F1271" s="12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r="1272">
      <c r="A1272" s="16"/>
      <c r="B1272" s="12"/>
      <c r="C1272" s="12"/>
      <c r="D1272" s="12"/>
      <c r="E1272" s="12"/>
      <c r="F1272" s="12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r="1273">
      <c r="A1273" s="16"/>
      <c r="B1273" s="12"/>
      <c r="C1273" s="12"/>
      <c r="D1273" s="12"/>
      <c r="E1273" s="12"/>
      <c r="F1273" s="12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r="1274">
      <c r="A1274" s="16"/>
      <c r="B1274" s="12"/>
      <c r="C1274" s="12"/>
      <c r="D1274" s="12"/>
      <c r="E1274" s="12"/>
      <c r="F1274" s="12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r="1275">
      <c r="A1275" s="16"/>
      <c r="B1275" s="12"/>
      <c r="C1275" s="12"/>
      <c r="D1275" s="12"/>
      <c r="E1275" s="12"/>
      <c r="F1275" s="12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r="1276">
      <c r="A1276" s="16"/>
      <c r="B1276" s="12"/>
      <c r="C1276" s="12"/>
      <c r="D1276" s="12"/>
      <c r="E1276" s="12"/>
      <c r="F1276" s="12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r="1277">
      <c r="A1277" s="16"/>
      <c r="B1277" s="12"/>
      <c r="C1277" s="12"/>
      <c r="D1277" s="12"/>
      <c r="E1277" s="12"/>
      <c r="F1277" s="12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r="1278">
      <c r="A1278" s="16"/>
      <c r="B1278" s="12"/>
      <c r="C1278" s="12"/>
      <c r="D1278" s="12"/>
      <c r="E1278" s="12"/>
      <c r="F1278" s="12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r="1279">
      <c r="A1279" s="16"/>
      <c r="B1279" s="12"/>
      <c r="C1279" s="12"/>
      <c r="D1279" s="12"/>
      <c r="E1279" s="12"/>
      <c r="F1279" s="12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r="1280">
      <c r="A1280" s="16"/>
      <c r="B1280" s="12"/>
      <c r="C1280" s="12"/>
      <c r="D1280" s="12"/>
      <c r="E1280" s="12"/>
      <c r="F1280" s="12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r="1281">
      <c r="A1281" s="16"/>
      <c r="B1281" s="12"/>
      <c r="C1281" s="12"/>
      <c r="D1281" s="12"/>
      <c r="E1281" s="12"/>
      <c r="F1281" s="12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r="1282">
      <c r="A1282" s="16"/>
      <c r="B1282" s="12"/>
      <c r="C1282" s="12"/>
      <c r="D1282" s="12"/>
      <c r="E1282" s="12"/>
      <c r="F1282" s="12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r="1283">
      <c r="A1283" s="16"/>
      <c r="B1283" s="12"/>
      <c r="C1283" s="12"/>
      <c r="D1283" s="12"/>
      <c r="E1283" s="12"/>
      <c r="F1283" s="12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r="1284">
      <c r="A1284" s="16"/>
      <c r="B1284" s="12"/>
      <c r="C1284" s="12"/>
      <c r="D1284" s="12"/>
      <c r="E1284" s="12"/>
      <c r="F1284" s="12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r="1285">
      <c r="A1285" s="16"/>
      <c r="B1285" s="12"/>
      <c r="C1285" s="12"/>
      <c r="D1285" s="12"/>
      <c r="E1285" s="12"/>
      <c r="F1285" s="12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r="1286">
      <c r="A1286" s="16"/>
      <c r="B1286" s="12"/>
      <c r="C1286" s="12"/>
      <c r="D1286" s="12"/>
      <c r="E1286" s="12"/>
      <c r="F1286" s="12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r="1287">
      <c r="A1287" s="16"/>
      <c r="B1287" s="12"/>
      <c r="C1287" s="12"/>
      <c r="D1287" s="12"/>
      <c r="E1287" s="12"/>
      <c r="F1287" s="12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r="1288">
      <c r="A1288" s="16"/>
      <c r="B1288" s="12"/>
      <c r="C1288" s="12"/>
      <c r="D1288" s="12"/>
      <c r="E1288" s="12"/>
      <c r="F1288" s="12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r="1289">
      <c r="A1289" s="16"/>
      <c r="B1289" s="12"/>
      <c r="C1289" s="12"/>
      <c r="D1289" s="12"/>
      <c r="E1289" s="12"/>
      <c r="F1289" s="12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r="1290">
      <c r="A1290" s="16"/>
      <c r="B1290" s="12"/>
      <c r="C1290" s="12"/>
      <c r="D1290" s="12"/>
      <c r="E1290" s="12"/>
      <c r="F1290" s="12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r="1291">
      <c r="A1291" s="16"/>
      <c r="B1291" s="12"/>
      <c r="C1291" s="12"/>
      <c r="D1291" s="12"/>
      <c r="E1291" s="12"/>
      <c r="F1291" s="12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r="1292">
      <c r="A1292" s="16"/>
      <c r="B1292" s="12"/>
      <c r="C1292" s="12"/>
      <c r="D1292" s="12"/>
      <c r="E1292" s="12"/>
      <c r="F1292" s="12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r="1293">
      <c r="A1293" s="16"/>
      <c r="B1293" s="12"/>
      <c r="C1293" s="12"/>
      <c r="D1293" s="12"/>
      <c r="E1293" s="12"/>
      <c r="F1293" s="12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r="1294">
      <c r="A1294" s="16"/>
      <c r="B1294" s="12"/>
      <c r="C1294" s="12"/>
      <c r="D1294" s="12"/>
      <c r="E1294" s="12"/>
      <c r="F1294" s="12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r="1295">
      <c r="A1295" s="16"/>
      <c r="B1295" s="12"/>
      <c r="C1295" s="12"/>
      <c r="D1295" s="12"/>
      <c r="E1295" s="12"/>
      <c r="F1295" s="12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r="1296">
      <c r="A1296" s="16"/>
      <c r="B1296" s="12"/>
      <c r="C1296" s="12"/>
      <c r="D1296" s="12"/>
      <c r="E1296" s="12"/>
      <c r="F1296" s="12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r="1297">
      <c r="A1297" s="16"/>
      <c r="B1297" s="12"/>
      <c r="C1297" s="12"/>
      <c r="D1297" s="12"/>
      <c r="E1297" s="12"/>
      <c r="F1297" s="12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r="1298">
      <c r="A1298" s="16"/>
      <c r="B1298" s="12"/>
      <c r="C1298" s="12"/>
      <c r="D1298" s="12"/>
      <c r="E1298" s="12"/>
      <c r="F1298" s="12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r="1299">
      <c r="A1299" s="16"/>
      <c r="B1299" s="12"/>
      <c r="C1299" s="12"/>
      <c r="D1299" s="12"/>
      <c r="E1299" s="12"/>
      <c r="F1299" s="12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r="1300">
      <c r="A1300" s="16"/>
      <c r="B1300" s="12"/>
      <c r="C1300" s="12"/>
      <c r="D1300" s="12"/>
      <c r="E1300" s="12"/>
      <c r="F1300" s="12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r="1301">
      <c r="A1301" s="16"/>
      <c r="B1301" s="12"/>
      <c r="C1301" s="12"/>
      <c r="D1301" s="12"/>
      <c r="E1301" s="12"/>
      <c r="F1301" s="12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r="1302">
      <c r="A1302" s="16"/>
      <c r="B1302" s="12"/>
      <c r="C1302" s="12"/>
      <c r="D1302" s="12"/>
      <c r="E1302" s="12"/>
      <c r="F1302" s="12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r="1303">
      <c r="A1303" s="16"/>
      <c r="B1303" s="12"/>
      <c r="C1303" s="12"/>
      <c r="D1303" s="12"/>
      <c r="E1303" s="12"/>
      <c r="F1303" s="12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r="1304">
      <c r="A1304" s="16"/>
      <c r="B1304" s="12"/>
      <c r="C1304" s="12"/>
      <c r="D1304" s="12"/>
      <c r="E1304" s="12"/>
      <c r="F1304" s="12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r="1305">
      <c r="A1305" s="16"/>
      <c r="B1305" s="12"/>
      <c r="C1305" s="12"/>
      <c r="D1305" s="12"/>
      <c r="E1305" s="12"/>
      <c r="F1305" s="12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r="1306">
      <c r="A1306" s="16"/>
      <c r="B1306" s="12"/>
      <c r="C1306" s="12"/>
      <c r="D1306" s="12"/>
      <c r="E1306" s="12"/>
      <c r="F1306" s="12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r="1307">
      <c r="A1307" s="16"/>
      <c r="B1307" s="12"/>
      <c r="C1307" s="12"/>
      <c r="D1307" s="12"/>
      <c r="E1307" s="12"/>
      <c r="F1307" s="12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r="1308">
      <c r="A1308" s="16"/>
      <c r="B1308" s="12"/>
      <c r="C1308" s="12"/>
      <c r="D1308" s="12"/>
      <c r="E1308" s="12"/>
      <c r="F1308" s="12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r="1309">
      <c r="A1309" s="16"/>
      <c r="B1309" s="12"/>
      <c r="C1309" s="12"/>
      <c r="D1309" s="12"/>
      <c r="E1309" s="12"/>
      <c r="F1309" s="12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r="1310">
      <c r="A1310" s="16"/>
      <c r="B1310" s="12"/>
      <c r="C1310" s="12"/>
      <c r="D1310" s="12"/>
      <c r="E1310" s="12"/>
      <c r="F1310" s="12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r="1311">
      <c r="A1311" s="16"/>
      <c r="B1311" s="12"/>
      <c r="C1311" s="12"/>
      <c r="D1311" s="12"/>
      <c r="E1311" s="12"/>
      <c r="F1311" s="12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r="1312">
      <c r="A1312" s="16"/>
      <c r="B1312" s="12"/>
      <c r="C1312" s="12"/>
      <c r="D1312" s="12"/>
      <c r="E1312" s="12"/>
      <c r="F1312" s="12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r="1313">
      <c r="A1313" s="16"/>
      <c r="B1313" s="12"/>
      <c r="C1313" s="12"/>
      <c r="D1313" s="12"/>
      <c r="E1313" s="12"/>
      <c r="F1313" s="12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r="1314">
      <c r="A1314" s="16"/>
      <c r="B1314" s="12"/>
      <c r="C1314" s="12"/>
      <c r="D1314" s="12"/>
      <c r="E1314" s="12"/>
      <c r="F1314" s="12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r="1315">
      <c r="A1315" s="16"/>
      <c r="B1315" s="12"/>
      <c r="C1315" s="12"/>
      <c r="D1315" s="12"/>
      <c r="E1315" s="12"/>
      <c r="F1315" s="12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r="1316">
      <c r="A1316" s="16"/>
      <c r="B1316" s="12"/>
      <c r="C1316" s="12"/>
      <c r="D1316" s="12"/>
      <c r="E1316" s="12"/>
      <c r="F1316" s="12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r="1317">
      <c r="A1317" s="16"/>
      <c r="B1317" s="12"/>
      <c r="C1317" s="12"/>
      <c r="D1317" s="12"/>
      <c r="E1317" s="12"/>
      <c r="F1317" s="12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r="1318">
      <c r="A1318" s="16"/>
      <c r="B1318" s="12"/>
      <c r="C1318" s="12"/>
      <c r="D1318" s="12"/>
      <c r="E1318" s="12"/>
      <c r="F1318" s="12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r="1319">
      <c r="A1319" s="16"/>
      <c r="B1319" s="12"/>
      <c r="C1319" s="12"/>
      <c r="D1319" s="12"/>
      <c r="E1319" s="12"/>
      <c r="F1319" s="12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r="1320">
      <c r="A1320" s="16"/>
      <c r="B1320" s="12"/>
      <c r="C1320" s="12"/>
      <c r="D1320" s="12"/>
      <c r="E1320" s="12"/>
      <c r="F1320" s="12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r="1321">
      <c r="A1321" s="16"/>
      <c r="B1321" s="12"/>
      <c r="C1321" s="12"/>
      <c r="D1321" s="12"/>
      <c r="E1321" s="12"/>
      <c r="F1321" s="12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r="1322">
      <c r="A1322" s="16"/>
      <c r="B1322" s="12"/>
      <c r="C1322" s="12"/>
      <c r="D1322" s="12"/>
      <c r="E1322" s="12"/>
      <c r="F1322" s="12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r="1323">
      <c r="A1323" s="16"/>
      <c r="B1323" s="12"/>
      <c r="C1323" s="12"/>
      <c r="D1323" s="12"/>
      <c r="E1323" s="12"/>
      <c r="F1323" s="12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r="1324">
      <c r="A1324" s="16"/>
      <c r="B1324" s="12"/>
      <c r="C1324" s="12"/>
      <c r="D1324" s="12"/>
      <c r="E1324" s="12"/>
      <c r="F1324" s="12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r="1325">
      <c r="A1325" s="16"/>
      <c r="B1325" s="12"/>
      <c r="C1325" s="12"/>
      <c r="D1325" s="12"/>
      <c r="E1325" s="12"/>
      <c r="F1325" s="12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r="1326">
      <c r="A1326" s="16"/>
      <c r="B1326" s="12"/>
      <c r="C1326" s="12"/>
      <c r="D1326" s="12"/>
      <c r="E1326" s="12"/>
      <c r="F1326" s="12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r="1327">
      <c r="A1327" s="16"/>
      <c r="B1327" s="12"/>
      <c r="C1327" s="12"/>
      <c r="D1327" s="12"/>
      <c r="E1327" s="12"/>
      <c r="F1327" s="12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r="1328">
      <c r="A1328" s="16"/>
      <c r="B1328" s="12"/>
      <c r="C1328" s="12"/>
      <c r="D1328" s="12"/>
      <c r="E1328" s="12"/>
      <c r="F1328" s="12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r="1329">
      <c r="A1329" s="16"/>
      <c r="B1329" s="12"/>
      <c r="C1329" s="12"/>
      <c r="D1329" s="12"/>
      <c r="E1329" s="12"/>
      <c r="F1329" s="12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r="1330">
      <c r="A1330" s="16"/>
      <c r="B1330" s="12"/>
      <c r="C1330" s="12"/>
      <c r="D1330" s="12"/>
      <c r="E1330" s="12"/>
      <c r="F1330" s="12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r="1331">
      <c r="A1331" s="16"/>
      <c r="B1331" s="12"/>
      <c r="C1331" s="12"/>
      <c r="D1331" s="12"/>
      <c r="E1331" s="12"/>
      <c r="F1331" s="12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r="1332">
      <c r="A1332" s="16"/>
      <c r="B1332" s="12"/>
      <c r="C1332" s="12"/>
      <c r="D1332" s="12"/>
      <c r="E1332" s="12"/>
      <c r="F1332" s="12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r="1333">
      <c r="A1333" s="16"/>
      <c r="B1333" s="12"/>
      <c r="C1333" s="12"/>
      <c r="D1333" s="12"/>
      <c r="E1333" s="12"/>
      <c r="F1333" s="12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r="1334">
      <c r="A1334" s="16"/>
      <c r="B1334" s="12"/>
      <c r="C1334" s="12"/>
      <c r="D1334" s="12"/>
      <c r="E1334" s="12"/>
      <c r="F1334" s="12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r="1335">
      <c r="A1335" s="16"/>
      <c r="B1335" s="12"/>
      <c r="C1335" s="12"/>
      <c r="D1335" s="12"/>
      <c r="E1335" s="12"/>
      <c r="F1335" s="12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r="1336">
      <c r="A1336" s="16"/>
      <c r="B1336" s="12"/>
      <c r="C1336" s="12"/>
      <c r="D1336" s="12"/>
      <c r="E1336" s="12"/>
      <c r="F1336" s="12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r="1337">
      <c r="A1337" s="16"/>
      <c r="B1337" s="12"/>
      <c r="C1337" s="12"/>
      <c r="D1337" s="12"/>
      <c r="E1337" s="12"/>
      <c r="F1337" s="12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r="1338">
      <c r="A1338" s="16"/>
      <c r="B1338" s="12"/>
      <c r="C1338" s="12"/>
      <c r="D1338" s="12"/>
      <c r="E1338" s="12"/>
      <c r="F1338" s="12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r="1339">
      <c r="A1339" s="16"/>
      <c r="B1339" s="12"/>
      <c r="C1339" s="12"/>
      <c r="D1339" s="12"/>
      <c r="E1339" s="12"/>
      <c r="F1339" s="12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r="1340">
      <c r="A1340" s="16"/>
      <c r="B1340" s="12"/>
      <c r="C1340" s="12"/>
      <c r="D1340" s="12"/>
      <c r="E1340" s="12"/>
      <c r="F1340" s="12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  <row r="1341">
      <c r="A1341" s="16"/>
      <c r="B1341" s="12"/>
      <c r="C1341" s="12"/>
      <c r="D1341" s="12"/>
      <c r="E1341" s="12"/>
      <c r="F1341" s="12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</row>
    <row r="1342">
      <c r="A1342" s="16"/>
      <c r="B1342" s="12"/>
      <c r="C1342" s="12"/>
      <c r="D1342" s="12"/>
      <c r="E1342" s="12"/>
      <c r="F1342" s="12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</row>
    <row r="1343">
      <c r="A1343" s="16"/>
      <c r="B1343" s="12"/>
      <c r="C1343" s="12"/>
      <c r="D1343" s="12"/>
      <c r="E1343" s="12"/>
      <c r="F1343" s="12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</row>
    <row r="1344">
      <c r="A1344" s="16"/>
      <c r="B1344" s="12"/>
      <c r="C1344" s="12"/>
      <c r="D1344" s="12"/>
      <c r="E1344" s="12"/>
      <c r="F1344" s="12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</row>
    <row r="1345">
      <c r="A1345" s="16"/>
      <c r="B1345" s="12"/>
      <c r="C1345" s="12"/>
      <c r="D1345" s="12"/>
      <c r="E1345" s="12"/>
      <c r="F1345" s="12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</row>
    <row r="1346">
      <c r="A1346" s="16"/>
      <c r="B1346" s="12"/>
      <c r="C1346" s="12"/>
      <c r="D1346" s="12"/>
      <c r="E1346" s="12"/>
      <c r="F1346" s="12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</row>
    <row r="1347">
      <c r="A1347" s="16"/>
      <c r="B1347" s="12"/>
      <c r="C1347" s="12"/>
      <c r="D1347" s="12"/>
      <c r="E1347" s="12"/>
      <c r="F1347" s="12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</row>
    <row r="1348">
      <c r="A1348" s="16"/>
      <c r="B1348" s="12"/>
      <c r="C1348" s="12"/>
      <c r="D1348" s="12"/>
      <c r="E1348" s="12"/>
      <c r="F1348" s="12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</row>
    <row r="1349">
      <c r="A1349" s="16"/>
      <c r="B1349" s="12"/>
      <c r="C1349" s="12"/>
      <c r="D1349" s="12"/>
      <c r="E1349" s="12"/>
      <c r="F1349" s="12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</row>
    <row r="1350">
      <c r="A1350" s="16"/>
      <c r="B1350" s="12"/>
      <c r="C1350" s="12"/>
      <c r="D1350" s="12"/>
      <c r="E1350" s="12"/>
      <c r="F1350" s="12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</row>
    <row r="1351">
      <c r="A1351" s="16"/>
      <c r="B1351" s="12"/>
      <c r="C1351" s="12"/>
      <c r="D1351" s="12"/>
      <c r="E1351" s="12"/>
      <c r="F1351" s="12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</row>
    <row r="1352">
      <c r="A1352" s="16"/>
      <c r="B1352" s="12"/>
      <c r="C1352" s="12"/>
      <c r="D1352" s="12"/>
      <c r="E1352" s="12"/>
      <c r="F1352" s="12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</row>
    <row r="1353">
      <c r="A1353" s="16"/>
      <c r="B1353" s="12"/>
      <c r="C1353" s="12"/>
      <c r="D1353" s="12"/>
      <c r="E1353" s="12"/>
      <c r="F1353" s="12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</row>
    <row r="1354">
      <c r="A1354" s="16"/>
      <c r="B1354" s="12"/>
      <c r="C1354" s="12"/>
      <c r="D1354" s="12"/>
      <c r="E1354" s="12"/>
      <c r="F1354" s="12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</row>
    <row r="1355">
      <c r="A1355" s="16"/>
      <c r="B1355" s="12"/>
      <c r="C1355" s="12"/>
      <c r="D1355" s="12"/>
      <c r="E1355" s="12"/>
      <c r="F1355" s="12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</row>
    <row r="1356">
      <c r="A1356" s="16"/>
      <c r="B1356" s="12"/>
      <c r="C1356" s="12"/>
      <c r="D1356" s="12"/>
      <c r="E1356" s="12"/>
      <c r="F1356" s="12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</row>
    <row r="1357">
      <c r="A1357" s="16"/>
      <c r="B1357" s="12"/>
      <c r="C1357" s="12"/>
      <c r="D1357" s="12"/>
      <c r="E1357" s="12"/>
      <c r="F1357" s="12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</row>
    <row r="1358">
      <c r="A1358" s="16"/>
      <c r="B1358" s="12"/>
      <c r="C1358" s="12"/>
      <c r="D1358" s="12"/>
      <c r="E1358" s="12"/>
      <c r="F1358" s="12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</row>
    <row r="1359">
      <c r="A1359" s="16"/>
      <c r="B1359" s="12"/>
      <c r="C1359" s="12"/>
      <c r="D1359" s="12"/>
      <c r="E1359" s="12"/>
      <c r="F1359" s="12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</row>
    <row r="1360">
      <c r="A1360" s="16"/>
      <c r="B1360" s="12"/>
      <c r="C1360" s="12"/>
      <c r="D1360" s="12"/>
      <c r="E1360" s="12"/>
      <c r="F1360" s="12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</row>
    <row r="1361">
      <c r="A1361" s="16"/>
      <c r="B1361" s="12"/>
      <c r="C1361" s="12"/>
      <c r="D1361" s="12"/>
      <c r="E1361" s="12"/>
      <c r="F1361" s="12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</row>
    <row r="1362">
      <c r="A1362" s="16"/>
      <c r="B1362" s="12"/>
      <c r="C1362" s="12"/>
      <c r="D1362" s="12"/>
      <c r="E1362" s="12"/>
      <c r="F1362" s="12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</row>
    <row r="1363">
      <c r="A1363" s="16"/>
      <c r="B1363" s="12"/>
      <c r="C1363" s="12"/>
      <c r="D1363" s="12"/>
      <c r="E1363" s="12"/>
      <c r="F1363" s="12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</row>
    <row r="1364">
      <c r="A1364" s="16"/>
      <c r="B1364" s="12"/>
      <c r="C1364" s="12"/>
      <c r="D1364" s="12"/>
      <c r="E1364" s="12"/>
      <c r="F1364" s="12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</row>
    <row r="1365">
      <c r="A1365" s="16"/>
      <c r="B1365" s="12"/>
      <c r="C1365" s="12"/>
      <c r="D1365" s="12"/>
      <c r="E1365" s="12"/>
      <c r="F1365" s="12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</row>
    <row r="1366">
      <c r="A1366" s="16"/>
      <c r="B1366" s="12"/>
      <c r="C1366" s="12"/>
      <c r="D1366" s="12"/>
      <c r="E1366" s="12"/>
      <c r="F1366" s="12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</row>
    <row r="1367">
      <c r="A1367" s="16"/>
      <c r="B1367" s="12"/>
      <c r="C1367" s="12"/>
      <c r="D1367" s="12"/>
      <c r="E1367" s="12"/>
      <c r="F1367" s="12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</row>
    <row r="1368">
      <c r="A1368" s="16"/>
      <c r="B1368" s="12"/>
      <c r="C1368" s="12"/>
      <c r="D1368" s="12"/>
      <c r="E1368" s="12"/>
      <c r="F1368" s="12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</row>
    <row r="1369">
      <c r="A1369" s="16"/>
      <c r="B1369" s="12"/>
      <c r="C1369" s="12"/>
      <c r="D1369" s="12"/>
      <c r="E1369" s="12"/>
      <c r="F1369" s="12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</row>
    <row r="1370">
      <c r="A1370" s="16"/>
      <c r="B1370" s="12"/>
      <c r="C1370" s="12"/>
      <c r="D1370" s="12"/>
      <c r="E1370" s="12"/>
      <c r="F1370" s="12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</row>
    <row r="1371">
      <c r="A1371" s="16"/>
      <c r="B1371" s="12"/>
      <c r="C1371" s="12"/>
      <c r="D1371" s="12"/>
      <c r="E1371" s="12"/>
      <c r="F1371" s="12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</row>
    <row r="1372">
      <c r="A1372" s="16"/>
      <c r="B1372" s="12"/>
      <c r="C1372" s="12"/>
      <c r="D1372" s="12"/>
      <c r="E1372" s="12"/>
      <c r="F1372" s="12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</row>
    <row r="1373">
      <c r="A1373" s="16"/>
      <c r="B1373" s="12"/>
      <c r="C1373" s="12"/>
      <c r="D1373" s="12"/>
      <c r="E1373" s="12"/>
      <c r="F1373" s="12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</row>
    <row r="1374">
      <c r="A1374" s="16"/>
      <c r="B1374" s="12"/>
      <c r="C1374" s="12"/>
      <c r="D1374" s="12"/>
      <c r="E1374" s="12"/>
      <c r="F1374" s="12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</row>
    <row r="1375">
      <c r="A1375" s="16"/>
      <c r="B1375" s="12"/>
      <c r="C1375" s="12"/>
      <c r="D1375" s="12"/>
      <c r="E1375" s="12"/>
      <c r="F1375" s="12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</row>
    <row r="1376">
      <c r="A1376" s="16"/>
      <c r="B1376" s="12"/>
      <c r="C1376" s="12"/>
      <c r="D1376" s="12"/>
      <c r="E1376" s="12"/>
      <c r="F1376" s="12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</row>
    <row r="1377">
      <c r="A1377" s="16"/>
      <c r="B1377" s="12"/>
      <c r="C1377" s="12"/>
      <c r="D1377" s="12"/>
      <c r="E1377" s="12"/>
      <c r="F1377" s="12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</row>
    <row r="1378">
      <c r="A1378" s="16"/>
      <c r="B1378" s="12"/>
      <c r="C1378" s="12"/>
      <c r="D1378" s="12"/>
      <c r="E1378" s="12"/>
      <c r="F1378" s="12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</row>
    <row r="1379">
      <c r="A1379" s="16"/>
      <c r="B1379" s="12"/>
      <c r="C1379" s="12"/>
      <c r="D1379" s="12"/>
      <c r="E1379" s="12"/>
      <c r="F1379" s="12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</row>
    <row r="1380">
      <c r="A1380" s="16"/>
      <c r="B1380" s="12"/>
      <c r="C1380" s="12"/>
      <c r="D1380" s="12"/>
      <c r="E1380" s="12"/>
      <c r="F1380" s="12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</row>
    <row r="1381">
      <c r="A1381" s="16"/>
      <c r="B1381" s="12"/>
      <c r="C1381" s="12"/>
      <c r="D1381" s="12"/>
      <c r="E1381" s="12"/>
      <c r="F1381" s="12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</row>
    <row r="1382">
      <c r="A1382" s="16"/>
      <c r="B1382" s="12"/>
      <c r="C1382" s="12"/>
      <c r="D1382" s="12"/>
      <c r="E1382" s="12"/>
      <c r="F1382" s="12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</row>
    <row r="1383">
      <c r="A1383" s="16"/>
      <c r="B1383" s="12"/>
      <c r="C1383" s="12"/>
      <c r="D1383" s="12"/>
      <c r="E1383" s="12"/>
      <c r="F1383" s="12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</row>
    <row r="1384">
      <c r="A1384" s="16"/>
      <c r="B1384" s="12"/>
      <c r="C1384" s="12"/>
      <c r="D1384" s="12"/>
      <c r="E1384" s="12"/>
      <c r="F1384" s="12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</row>
    <row r="1385">
      <c r="A1385" s="16"/>
      <c r="B1385" s="12"/>
      <c r="C1385" s="12"/>
      <c r="D1385" s="12"/>
      <c r="E1385" s="12"/>
      <c r="F1385" s="12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r="1386">
      <c r="A1386" s="16"/>
      <c r="B1386" s="12"/>
      <c r="C1386" s="12"/>
      <c r="D1386" s="12"/>
      <c r="E1386" s="12"/>
      <c r="F1386" s="12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</row>
    <row r="1387">
      <c r="A1387" s="16"/>
      <c r="B1387" s="12"/>
      <c r="C1387" s="12"/>
      <c r="D1387" s="12"/>
      <c r="E1387" s="12"/>
      <c r="F1387" s="12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</row>
    <row r="1388">
      <c r="A1388" s="16"/>
      <c r="B1388" s="12"/>
      <c r="C1388" s="12"/>
      <c r="D1388" s="12"/>
      <c r="E1388" s="12"/>
      <c r="F1388" s="12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r="1389">
      <c r="A1389" s="16"/>
      <c r="B1389" s="12"/>
      <c r="C1389" s="12"/>
      <c r="D1389" s="12"/>
      <c r="E1389" s="12"/>
      <c r="F1389" s="12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</row>
    <row r="1390">
      <c r="A1390" s="16"/>
      <c r="B1390" s="12"/>
      <c r="C1390" s="12"/>
      <c r="D1390" s="12"/>
      <c r="E1390" s="12"/>
      <c r="F1390" s="12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</row>
    <row r="1391">
      <c r="A1391" s="16"/>
      <c r="B1391" s="12"/>
      <c r="C1391" s="12"/>
      <c r="D1391" s="12"/>
      <c r="E1391" s="12"/>
      <c r="F1391" s="12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</row>
    <row r="1392">
      <c r="A1392" s="16"/>
      <c r="B1392" s="12"/>
      <c r="C1392" s="12"/>
      <c r="D1392" s="12"/>
      <c r="E1392" s="12"/>
      <c r="F1392" s="12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</row>
    <row r="1393">
      <c r="A1393" s="16"/>
      <c r="B1393" s="12"/>
      <c r="C1393" s="12"/>
      <c r="D1393" s="12"/>
      <c r="E1393" s="12"/>
      <c r="F1393" s="12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</row>
    <row r="1394">
      <c r="A1394" s="16"/>
      <c r="B1394" s="12"/>
      <c r="C1394" s="12"/>
      <c r="D1394" s="12"/>
      <c r="E1394" s="12"/>
      <c r="F1394" s="12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</row>
    <row r="1395">
      <c r="A1395" s="16"/>
      <c r="B1395" s="12"/>
      <c r="C1395" s="12"/>
      <c r="D1395" s="12"/>
      <c r="E1395" s="12"/>
      <c r="F1395" s="12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</row>
    <row r="1396">
      <c r="A1396" s="16"/>
      <c r="B1396" s="12"/>
      <c r="C1396" s="12"/>
      <c r="D1396" s="12"/>
      <c r="E1396" s="12"/>
      <c r="F1396" s="12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</row>
    <row r="1397">
      <c r="A1397" s="16"/>
      <c r="B1397" s="12"/>
      <c r="C1397" s="12"/>
      <c r="D1397" s="12"/>
      <c r="E1397" s="12"/>
      <c r="F1397" s="12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</row>
    <row r="1398">
      <c r="A1398" s="16"/>
      <c r="B1398" s="12"/>
      <c r="C1398" s="12"/>
      <c r="D1398" s="12"/>
      <c r="E1398" s="12"/>
      <c r="F1398" s="12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</row>
    <row r="1399">
      <c r="A1399" s="16"/>
      <c r="B1399" s="12"/>
      <c r="C1399" s="12"/>
      <c r="D1399" s="12"/>
      <c r="E1399" s="12"/>
      <c r="F1399" s="12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</row>
    <row r="1400">
      <c r="A1400" s="16"/>
      <c r="B1400" s="12"/>
      <c r="C1400" s="12"/>
      <c r="D1400" s="12"/>
      <c r="E1400" s="12"/>
      <c r="F1400" s="12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</row>
    <row r="1401">
      <c r="A1401" s="16"/>
      <c r="B1401" s="12"/>
      <c r="C1401" s="12"/>
      <c r="D1401" s="12"/>
      <c r="E1401" s="12"/>
      <c r="F1401" s="12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</row>
    <row r="1402">
      <c r="A1402" s="16"/>
      <c r="B1402" s="12"/>
      <c r="C1402" s="12"/>
      <c r="D1402" s="12"/>
      <c r="E1402" s="12"/>
      <c r="F1402" s="12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</row>
    <row r="1403">
      <c r="A1403" s="16"/>
      <c r="B1403" s="12"/>
      <c r="C1403" s="12"/>
      <c r="D1403" s="12"/>
      <c r="E1403" s="12"/>
      <c r="F1403" s="12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</row>
    <row r="1404">
      <c r="A1404" s="16"/>
      <c r="B1404" s="12"/>
      <c r="C1404" s="12"/>
      <c r="D1404" s="12"/>
      <c r="E1404" s="12"/>
      <c r="F1404" s="12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</row>
    <row r="1405">
      <c r="A1405" s="16"/>
      <c r="B1405" s="12"/>
      <c r="C1405" s="12"/>
      <c r="D1405" s="12"/>
      <c r="E1405" s="12"/>
      <c r="F1405" s="12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</row>
    <row r="1406">
      <c r="A1406" s="16"/>
      <c r="B1406" s="12"/>
      <c r="C1406" s="12"/>
      <c r="D1406" s="12"/>
      <c r="E1406" s="12"/>
      <c r="F1406" s="12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</row>
    <row r="1407">
      <c r="A1407" s="16"/>
      <c r="B1407" s="12"/>
      <c r="C1407" s="12"/>
      <c r="D1407" s="12"/>
      <c r="E1407" s="12"/>
      <c r="F1407" s="12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</row>
    <row r="1408">
      <c r="A1408" s="16"/>
      <c r="B1408" s="12"/>
      <c r="C1408" s="12"/>
      <c r="D1408" s="12"/>
      <c r="E1408" s="12"/>
      <c r="F1408" s="12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</row>
    <row r="1409">
      <c r="A1409" s="16"/>
      <c r="B1409" s="12"/>
      <c r="C1409" s="12"/>
      <c r="D1409" s="12"/>
      <c r="E1409" s="12"/>
      <c r="F1409" s="12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</row>
    <row r="1410">
      <c r="A1410" s="16"/>
      <c r="B1410" s="12"/>
      <c r="C1410" s="12"/>
      <c r="D1410" s="12"/>
      <c r="E1410" s="12"/>
      <c r="F1410" s="12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</row>
    <row r="1411">
      <c r="A1411" s="16"/>
      <c r="B1411" s="12"/>
      <c r="C1411" s="12"/>
      <c r="D1411" s="12"/>
      <c r="E1411" s="12"/>
      <c r="F1411" s="12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</row>
    <row r="1412">
      <c r="A1412" s="16"/>
      <c r="B1412" s="12"/>
      <c r="C1412" s="12"/>
      <c r="D1412" s="12"/>
      <c r="E1412" s="12"/>
      <c r="F1412" s="12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</row>
    <row r="1413">
      <c r="A1413" s="16"/>
      <c r="B1413" s="12"/>
      <c r="C1413" s="12"/>
      <c r="D1413" s="12"/>
      <c r="E1413" s="12"/>
      <c r="F1413" s="12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</row>
    <row r="1414">
      <c r="A1414" s="16"/>
      <c r="B1414" s="12"/>
      <c r="C1414" s="12"/>
      <c r="D1414" s="12"/>
      <c r="E1414" s="12"/>
      <c r="F1414" s="12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</row>
    <row r="1415">
      <c r="A1415" s="16"/>
      <c r="B1415" s="12"/>
      <c r="C1415" s="12"/>
      <c r="D1415" s="12"/>
      <c r="E1415" s="12"/>
      <c r="F1415" s="12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</row>
    <row r="1416">
      <c r="A1416" s="16"/>
      <c r="B1416" s="12"/>
      <c r="C1416" s="12"/>
      <c r="D1416" s="12"/>
      <c r="E1416" s="12"/>
      <c r="F1416" s="12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</row>
    <row r="1417">
      <c r="A1417" s="16"/>
      <c r="B1417" s="12"/>
      <c r="C1417" s="12"/>
      <c r="D1417" s="12"/>
      <c r="E1417" s="12"/>
      <c r="F1417" s="12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</row>
    <row r="1418">
      <c r="A1418" s="16"/>
      <c r="B1418" s="12"/>
      <c r="C1418" s="12"/>
      <c r="D1418" s="12"/>
      <c r="E1418" s="12"/>
      <c r="F1418" s="12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</row>
    <row r="1419">
      <c r="A1419" s="16"/>
      <c r="B1419" s="12"/>
      <c r="C1419" s="12"/>
      <c r="D1419" s="12"/>
      <c r="E1419" s="12"/>
      <c r="F1419" s="12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</row>
    <row r="1420">
      <c r="A1420" s="16"/>
      <c r="B1420" s="12"/>
      <c r="C1420" s="12"/>
      <c r="D1420" s="12"/>
      <c r="E1420" s="12"/>
      <c r="F1420" s="12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</row>
    <row r="1421">
      <c r="A1421" s="16"/>
      <c r="B1421" s="12"/>
      <c r="C1421" s="12"/>
      <c r="D1421" s="12"/>
      <c r="E1421" s="12"/>
      <c r="F1421" s="12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</row>
    <row r="1422">
      <c r="A1422" s="16"/>
      <c r="B1422" s="12"/>
      <c r="C1422" s="12"/>
      <c r="D1422" s="12"/>
      <c r="E1422" s="12"/>
      <c r="F1422" s="12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</row>
    <row r="1423">
      <c r="A1423" s="16"/>
      <c r="B1423" s="12"/>
      <c r="C1423" s="12"/>
      <c r="D1423" s="12"/>
      <c r="E1423" s="12"/>
      <c r="F1423" s="12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</row>
    <row r="1424">
      <c r="A1424" s="16"/>
      <c r="B1424" s="12"/>
      <c r="C1424" s="12"/>
      <c r="D1424" s="12"/>
      <c r="E1424" s="12"/>
      <c r="F1424" s="12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</row>
    <row r="1425">
      <c r="A1425" s="16"/>
      <c r="B1425" s="12"/>
      <c r="C1425" s="12"/>
      <c r="D1425" s="12"/>
      <c r="E1425" s="12"/>
      <c r="F1425" s="12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</row>
    <row r="1426">
      <c r="A1426" s="16"/>
      <c r="B1426" s="12"/>
      <c r="C1426" s="12"/>
      <c r="D1426" s="12"/>
      <c r="E1426" s="12"/>
      <c r="F1426" s="12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</row>
    <row r="1427">
      <c r="A1427" s="16"/>
      <c r="B1427" s="12"/>
      <c r="C1427" s="12"/>
      <c r="D1427" s="12"/>
      <c r="E1427" s="12"/>
      <c r="F1427" s="12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</row>
    <row r="1428">
      <c r="A1428" s="16"/>
      <c r="B1428" s="12"/>
      <c r="C1428" s="12"/>
      <c r="D1428" s="12"/>
      <c r="E1428" s="12"/>
      <c r="F1428" s="12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</row>
    <row r="1429">
      <c r="A1429" s="16"/>
      <c r="B1429" s="12"/>
      <c r="C1429" s="12"/>
      <c r="D1429" s="12"/>
      <c r="E1429" s="12"/>
      <c r="F1429" s="12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</row>
    <row r="1430">
      <c r="A1430" s="16"/>
      <c r="B1430" s="12"/>
      <c r="C1430" s="12"/>
      <c r="D1430" s="12"/>
      <c r="E1430" s="12"/>
      <c r="F1430" s="12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</row>
    <row r="1431">
      <c r="A1431" s="16"/>
      <c r="B1431" s="12"/>
      <c r="C1431" s="12"/>
      <c r="D1431" s="12"/>
      <c r="E1431" s="12"/>
      <c r="F1431" s="12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</row>
    <row r="1432">
      <c r="A1432" s="16"/>
      <c r="B1432" s="12"/>
      <c r="C1432" s="12"/>
      <c r="D1432" s="12"/>
      <c r="E1432" s="12"/>
      <c r="F1432" s="12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</row>
    <row r="1433">
      <c r="A1433" s="16"/>
      <c r="B1433" s="12"/>
      <c r="C1433" s="12"/>
      <c r="D1433" s="12"/>
      <c r="E1433" s="12"/>
      <c r="F1433" s="12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</row>
    <row r="1434">
      <c r="A1434" s="16"/>
      <c r="B1434" s="12"/>
      <c r="C1434" s="12"/>
      <c r="D1434" s="12"/>
      <c r="E1434" s="12"/>
      <c r="F1434" s="12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</row>
    <row r="1435">
      <c r="A1435" s="16"/>
      <c r="B1435" s="12"/>
      <c r="C1435" s="12"/>
      <c r="D1435" s="12"/>
      <c r="E1435" s="12"/>
      <c r="F1435" s="12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</row>
    <row r="1436">
      <c r="A1436" s="16"/>
      <c r="B1436" s="12"/>
      <c r="C1436" s="12"/>
      <c r="D1436" s="12"/>
      <c r="E1436" s="12"/>
      <c r="F1436" s="12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</row>
    <row r="1437">
      <c r="A1437" s="16"/>
      <c r="B1437" s="12"/>
      <c r="C1437" s="12"/>
      <c r="D1437" s="12"/>
      <c r="E1437" s="12"/>
      <c r="F1437" s="12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</row>
    <row r="1438">
      <c r="A1438" s="16"/>
      <c r="B1438" s="12"/>
      <c r="C1438" s="12"/>
      <c r="D1438" s="12"/>
      <c r="E1438" s="12"/>
      <c r="F1438" s="12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</row>
    <row r="1439">
      <c r="A1439" s="16"/>
      <c r="B1439" s="12"/>
      <c r="C1439" s="12"/>
      <c r="D1439" s="12"/>
      <c r="E1439" s="12"/>
      <c r="F1439" s="12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</row>
    <row r="1440">
      <c r="A1440" s="16"/>
      <c r="B1440" s="12"/>
      <c r="C1440" s="12"/>
      <c r="D1440" s="12"/>
      <c r="E1440" s="12"/>
      <c r="F1440" s="12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</row>
    <row r="1441">
      <c r="A1441" s="16"/>
      <c r="B1441" s="12"/>
      <c r="C1441" s="12"/>
      <c r="D1441" s="12"/>
      <c r="E1441" s="12"/>
      <c r="F1441" s="12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</row>
    <row r="1442">
      <c r="A1442" s="16"/>
      <c r="B1442" s="12"/>
      <c r="C1442" s="12"/>
      <c r="D1442" s="12"/>
      <c r="E1442" s="12"/>
      <c r="F1442" s="12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</row>
    <row r="1443">
      <c r="A1443" s="16"/>
      <c r="B1443" s="12"/>
      <c r="C1443" s="12"/>
      <c r="D1443" s="12"/>
      <c r="E1443" s="12"/>
      <c r="F1443" s="12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</row>
    <row r="1444">
      <c r="A1444" s="16"/>
      <c r="B1444" s="12"/>
      <c r="C1444" s="12"/>
      <c r="D1444" s="12"/>
      <c r="E1444" s="12"/>
      <c r="F1444" s="12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</row>
    <row r="1445">
      <c r="A1445" s="16"/>
      <c r="B1445" s="12"/>
      <c r="C1445" s="12"/>
      <c r="D1445" s="12"/>
      <c r="E1445" s="12"/>
      <c r="F1445" s="12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</row>
    <row r="1446">
      <c r="A1446" s="16"/>
      <c r="B1446" s="12"/>
      <c r="C1446" s="12"/>
      <c r="D1446" s="12"/>
      <c r="E1446" s="12"/>
      <c r="F1446" s="12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</row>
    <row r="1447">
      <c r="A1447" s="16"/>
      <c r="B1447" s="12"/>
      <c r="C1447" s="12"/>
      <c r="D1447" s="12"/>
      <c r="E1447" s="12"/>
      <c r="F1447" s="12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</row>
    <row r="1448">
      <c r="A1448" s="16"/>
      <c r="B1448" s="12"/>
      <c r="C1448" s="12"/>
      <c r="D1448" s="12"/>
      <c r="E1448" s="12"/>
      <c r="F1448" s="12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</row>
    <row r="1449">
      <c r="A1449" s="16"/>
      <c r="B1449" s="12"/>
      <c r="C1449" s="12"/>
      <c r="D1449" s="12"/>
      <c r="E1449" s="12"/>
      <c r="F1449" s="12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</row>
    <row r="1450">
      <c r="A1450" s="16"/>
      <c r="B1450" s="12"/>
      <c r="C1450" s="12"/>
      <c r="D1450" s="12"/>
      <c r="E1450" s="12"/>
      <c r="F1450" s="12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</row>
    <row r="1451">
      <c r="A1451" s="16"/>
      <c r="B1451" s="12"/>
      <c r="C1451" s="12"/>
      <c r="D1451" s="12"/>
      <c r="E1451" s="12"/>
      <c r="F1451" s="12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</row>
    <row r="1452">
      <c r="A1452" s="16"/>
      <c r="B1452" s="12"/>
      <c r="C1452" s="12"/>
      <c r="D1452" s="12"/>
      <c r="E1452" s="12"/>
      <c r="F1452" s="12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</row>
    <row r="1453">
      <c r="A1453" s="16"/>
      <c r="B1453" s="12"/>
      <c r="C1453" s="12"/>
      <c r="D1453" s="12"/>
      <c r="E1453" s="12"/>
      <c r="F1453" s="12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</row>
    <row r="1454">
      <c r="A1454" s="16"/>
      <c r="B1454" s="12"/>
      <c r="C1454" s="12"/>
      <c r="D1454" s="12"/>
      <c r="E1454" s="12"/>
      <c r="F1454" s="12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</row>
    <row r="1455">
      <c r="A1455" s="16"/>
      <c r="B1455" s="12"/>
      <c r="C1455" s="12"/>
      <c r="D1455" s="12"/>
      <c r="E1455" s="12"/>
      <c r="F1455" s="12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</row>
    <row r="1456">
      <c r="A1456" s="16"/>
      <c r="B1456" s="12"/>
      <c r="C1456" s="12"/>
      <c r="D1456" s="12"/>
      <c r="E1456" s="12"/>
      <c r="F1456" s="12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</row>
    <row r="1457">
      <c r="A1457" s="16"/>
      <c r="B1457" s="12"/>
      <c r="C1457" s="12"/>
      <c r="D1457" s="12"/>
      <c r="E1457" s="12"/>
      <c r="F1457" s="12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</row>
    <row r="1458">
      <c r="A1458" s="16"/>
      <c r="B1458" s="12"/>
      <c r="C1458" s="12"/>
      <c r="D1458" s="12"/>
      <c r="E1458" s="12"/>
      <c r="F1458" s="12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</row>
    <row r="1459">
      <c r="A1459" s="16"/>
      <c r="B1459" s="12"/>
      <c r="C1459" s="12"/>
      <c r="D1459" s="12"/>
      <c r="E1459" s="12"/>
      <c r="F1459" s="12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</row>
    <row r="1460">
      <c r="A1460" s="16"/>
      <c r="B1460" s="12"/>
      <c r="C1460" s="12"/>
      <c r="D1460" s="12"/>
      <c r="E1460" s="12"/>
      <c r="F1460" s="12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</row>
    <row r="1461">
      <c r="A1461" s="16"/>
      <c r="B1461" s="12"/>
      <c r="C1461" s="12"/>
      <c r="D1461" s="12"/>
      <c r="E1461" s="12"/>
      <c r="F1461" s="12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</row>
    <row r="1462">
      <c r="A1462" s="16"/>
      <c r="B1462" s="12"/>
      <c r="C1462" s="12"/>
      <c r="D1462" s="12"/>
      <c r="E1462" s="12"/>
      <c r="F1462" s="12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</row>
    <row r="1463">
      <c r="A1463" s="16"/>
      <c r="B1463" s="12"/>
      <c r="C1463" s="12"/>
      <c r="D1463" s="12"/>
      <c r="E1463" s="12"/>
      <c r="F1463" s="12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</row>
    <row r="1464">
      <c r="A1464" s="16"/>
      <c r="B1464" s="12"/>
      <c r="C1464" s="12"/>
      <c r="D1464" s="12"/>
      <c r="E1464" s="12"/>
      <c r="F1464" s="12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</row>
    <row r="1465">
      <c r="A1465" s="16"/>
      <c r="B1465" s="12"/>
      <c r="C1465" s="12"/>
      <c r="D1465" s="12"/>
      <c r="E1465" s="12"/>
      <c r="F1465" s="12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</row>
    <row r="1466">
      <c r="A1466" s="16"/>
      <c r="B1466" s="12"/>
      <c r="C1466" s="12"/>
      <c r="D1466" s="12"/>
      <c r="E1466" s="12"/>
      <c r="F1466" s="12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</row>
    <row r="1467">
      <c r="A1467" s="16"/>
      <c r="B1467" s="12"/>
      <c r="C1467" s="12"/>
      <c r="D1467" s="12"/>
      <c r="E1467" s="12"/>
      <c r="F1467" s="12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</row>
    <row r="1468">
      <c r="A1468" s="16"/>
      <c r="B1468" s="12"/>
      <c r="C1468" s="12"/>
      <c r="D1468" s="12"/>
      <c r="E1468" s="12"/>
      <c r="F1468" s="12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</row>
    <row r="1469">
      <c r="A1469" s="16"/>
      <c r="B1469" s="12"/>
      <c r="C1469" s="12"/>
      <c r="D1469" s="12"/>
      <c r="E1469" s="12"/>
      <c r="F1469" s="12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</row>
    <row r="1470">
      <c r="A1470" s="16"/>
      <c r="B1470" s="12"/>
      <c r="C1470" s="12"/>
      <c r="D1470" s="12"/>
      <c r="E1470" s="12"/>
      <c r="F1470" s="12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</row>
    <row r="1471">
      <c r="A1471" s="16"/>
      <c r="B1471" s="12"/>
      <c r="C1471" s="12"/>
      <c r="D1471" s="12"/>
      <c r="E1471" s="12"/>
      <c r="F1471" s="12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</row>
    <row r="1472">
      <c r="A1472" s="16"/>
      <c r="B1472" s="12"/>
      <c r="C1472" s="12"/>
      <c r="D1472" s="12"/>
      <c r="E1472" s="12"/>
      <c r="F1472" s="12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</row>
    <row r="1473">
      <c r="A1473" s="16"/>
      <c r="B1473" s="12"/>
      <c r="C1473" s="12"/>
      <c r="D1473" s="12"/>
      <c r="E1473" s="12"/>
      <c r="F1473" s="12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</row>
    <row r="1474">
      <c r="A1474" s="16"/>
      <c r="B1474" s="12"/>
      <c r="C1474" s="12"/>
      <c r="D1474" s="12"/>
      <c r="E1474" s="12"/>
      <c r="F1474" s="12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</row>
    <row r="1475">
      <c r="A1475" s="16"/>
      <c r="B1475" s="12"/>
      <c r="C1475" s="12"/>
      <c r="D1475" s="12"/>
      <c r="E1475" s="12"/>
      <c r="F1475" s="12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</row>
    <row r="1476">
      <c r="A1476" s="16"/>
      <c r="B1476" s="12"/>
      <c r="C1476" s="12"/>
      <c r="D1476" s="12"/>
      <c r="E1476" s="12"/>
      <c r="F1476" s="12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</row>
    <row r="1477">
      <c r="A1477" s="16"/>
      <c r="B1477" s="12"/>
      <c r="C1477" s="12"/>
      <c r="D1477" s="12"/>
      <c r="E1477" s="12"/>
      <c r="F1477" s="12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</row>
    <row r="1478">
      <c r="A1478" s="16"/>
      <c r="B1478" s="12"/>
      <c r="C1478" s="12"/>
      <c r="D1478" s="12"/>
      <c r="E1478" s="12"/>
      <c r="F1478" s="12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</row>
    <row r="1479">
      <c r="A1479" s="16"/>
      <c r="B1479" s="12"/>
      <c r="C1479" s="12"/>
      <c r="D1479" s="12"/>
      <c r="E1479" s="12"/>
      <c r="F1479" s="12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</row>
    <row r="1480">
      <c r="A1480" s="16"/>
      <c r="B1480" s="12"/>
      <c r="C1480" s="12"/>
      <c r="D1480" s="12"/>
      <c r="E1480" s="12"/>
      <c r="F1480" s="12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</row>
    <row r="1481">
      <c r="A1481" s="16"/>
      <c r="B1481" s="12"/>
      <c r="C1481" s="12"/>
      <c r="D1481" s="12"/>
      <c r="E1481" s="12"/>
      <c r="F1481" s="12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</row>
    <row r="1482">
      <c r="A1482" s="16"/>
      <c r="B1482" s="12"/>
      <c r="C1482" s="12"/>
      <c r="D1482" s="12"/>
      <c r="E1482" s="12"/>
      <c r="F1482" s="12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</row>
    <row r="1483">
      <c r="A1483" s="16"/>
      <c r="B1483" s="12"/>
      <c r="C1483" s="12"/>
      <c r="D1483" s="12"/>
      <c r="E1483" s="12"/>
      <c r="F1483" s="12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</row>
    <row r="1484">
      <c r="A1484" s="16"/>
      <c r="B1484" s="12"/>
      <c r="C1484" s="12"/>
      <c r="D1484" s="12"/>
      <c r="E1484" s="12"/>
      <c r="F1484" s="12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</row>
    <row r="1485">
      <c r="A1485" s="16"/>
      <c r="B1485" s="12"/>
      <c r="C1485" s="12"/>
      <c r="D1485" s="12"/>
      <c r="E1485" s="12"/>
      <c r="F1485" s="12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</row>
    <row r="1486">
      <c r="A1486" s="16"/>
      <c r="B1486" s="12"/>
      <c r="C1486" s="12"/>
      <c r="D1486" s="12"/>
      <c r="E1486" s="12"/>
      <c r="F1486" s="12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</row>
    <row r="1487">
      <c r="A1487" s="16"/>
      <c r="B1487" s="12"/>
      <c r="C1487" s="12"/>
      <c r="D1487" s="12"/>
      <c r="E1487" s="12"/>
      <c r="F1487" s="12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</row>
    <row r="1488">
      <c r="A1488" s="16"/>
      <c r="B1488" s="12"/>
      <c r="C1488" s="12"/>
      <c r="D1488" s="12"/>
      <c r="E1488" s="12"/>
      <c r="F1488" s="12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</row>
    <row r="1489">
      <c r="A1489" s="16"/>
      <c r="B1489" s="12"/>
      <c r="C1489" s="12"/>
      <c r="D1489" s="12"/>
      <c r="E1489" s="12"/>
      <c r="F1489" s="12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</row>
    <row r="1490">
      <c r="A1490" s="16"/>
      <c r="B1490" s="12"/>
      <c r="C1490" s="12"/>
      <c r="D1490" s="12"/>
      <c r="E1490" s="12"/>
      <c r="F1490" s="12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</row>
    <row r="1491">
      <c r="A1491" s="16"/>
      <c r="B1491" s="12"/>
      <c r="C1491" s="12"/>
      <c r="D1491" s="12"/>
      <c r="E1491" s="12"/>
      <c r="F1491" s="12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</row>
    <row r="1492">
      <c r="A1492" s="16"/>
      <c r="B1492" s="12"/>
      <c r="C1492" s="12"/>
      <c r="D1492" s="12"/>
      <c r="E1492" s="12"/>
      <c r="F1492" s="12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</row>
    <row r="1493">
      <c r="A1493" s="16"/>
      <c r="B1493" s="12"/>
      <c r="C1493" s="12"/>
      <c r="D1493" s="12"/>
      <c r="E1493" s="12"/>
      <c r="F1493" s="12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</row>
    <row r="1494">
      <c r="A1494" s="16"/>
      <c r="B1494" s="12"/>
      <c r="C1494" s="12"/>
      <c r="D1494" s="12"/>
      <c r="E1494" s="12"/>
      <c r="F1494" s="12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</row>
    <row r="1495">
      <c r="A1495" s="16"/>
      <c r="B1495" s="12"/>
      <c r="C1495" s="12"/>
      <c r="D1495" s="12"/>
      <c r="E1495" s="12"/>
      <c r="F1495" s="12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</row>
    <row r="1496">
      <c r="A1496" s="16"/>
      <c r="B1496" s="12"/>
      <c r="C1496" s="12"/>
      <c r="D1496" s="12"/>
      <c r="E1496" s="12"/>
      <c r="F1496" s="12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</row>
    <row r="1497">
      <c r="A1497" s="16"/>
      <c r="B1497" s="12"/>
      <c r="C1497" s="12"/>
      <c r="D1497" s="12"/>
      <c r="E1497" s="12"/>
      <c r="F1497" s="12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</row>
    <row r="1498">
      <c r="A1498" s="16"/>
      <c r="B1498" s="12"/>
      <c r="C1498" s="12"/>
      <c r="D1498" s="12"/>
      <c r="E1498" s="12"/>
      <c r="F1498" s="12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</row>
    <row r="1499">
      <c r="A1499" s="16"/>
      <c r="B1499" s="12"/>
      <c r="C1499" s="12"/>
      <c r="D1499" s="12"/>
      <c r="E1499" s="12"/>
      <c r="F1499" s="12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</row>
    <row r="1500">
      <c r="A1500" s="16"/>
      <c r="B1500" s="12"/>
      <c r="C1500" s="12"/>
      <c r="D1500" s="12"/>
      <c r="E1500" s="12"/>
      <c r="F1500" s="12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</row>
    <row r="1501">
      <c r="A1501" s="16"/>
      <c r="B1501" s="12"/>
      <c r="C1501" s="12"/>
      <c r="D1501" s="12"/>
      <c r="E1501" s="12"/>
      <c r="F1501" s="12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</row>
    <row r="1502">
      <c r="A1502" s="16"/>
      <c r="B1502" s="12"/>
      <c r="C1502" s="12"/>
      <c r="D1502" s="12"/>
      <c r="E1502" s="12"/>
      <c r="F1502" s="12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</row>
    <row r="1503">
      <c r="A1503" s="16"/>
      <c r="B1503" s="12"/>
      <c r="C1503" s="12"/>
      <c r="D1503" s="12"/>
      <c r="E1503" s="12"/>
      <c r="F1503" s="12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</row>
    <row r="1504">
      <c r="A1504" s="16"/>
      <c r="B1504" s="12"/>
      <c r="C1504" s="12"/>
      <c r="D1504" s="12"/>
      <c r="E1504" s="12"/>
      <c r="F1504" s="12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</row>
    <row r="1505">
      <c r="A1505" s="16"/>
      <c r="B1505" s="12"/>
      <c r="C1505" s="12"/>
      <c r="D1505" s="12"/>
      <c r="E1505" s="12"/>
      <c r="F1505" s="12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</row>
    <row r="1506">
      <c r="A1506" s="16"/>
      <c r="B1506" s="12"/>
      <c r="C1506" s="12"/>
      <c r="D1506" s="12"/>
      <c r="E1506" s="12"/>
      <c r="F1506" s="12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</row>
    <row r="1507">
      <c r="A1507" s="16"/>
      <c r="B1507" s="12"/>
      <c r="C1507" s="12"/>
      <c r="D1507" s="12"/>
      <c r="E1507" s="12"/>
      <c r="F1507" s="12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</row>
    <row r="1508">
      <c r="A1508" s="16"/>
      <c r="B1508" s="12"/>
      <c r="C1508" s="12"/>
      <c r="D1508" s="12"/>
      <c r="E1508" s="12"/>
      <c r="F1508" s="12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</row>
    <row r="1509">
      <c r="A1509" s="16"/>
      <c r="B1509" s="12"/>
      <c r="C1509" s="12"/>
      <c r="D1509" s="12"/>
      <c r="E1509" s="12"/>
      <c r="F1509" s="12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</row>
    <row r="1510">
      <c r="A1510" s="16"/>
      <c r="B1510" s="12"/>
      <c r="C1510" s="12"/>
      <c r="D1510" s="12"/>
      <c r="E1510" s="12"/>
      <c r="F1510" s="12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</row>
    <row r="1511">
      <c r="A1511" s="16"/>
      <c r="B1511" s="12"/>
      <c r="C1511" s="12"/>
      <c r="D1511" s="12"/>
      <c r="E1511" s="12"/>
      <c r="F1511" s="12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</row>
    <row r="1512">
      <c r="A1512" s="16"/>
      <c r="B1512" s="12"/>
      <c r="C1512" s="12"/>
      <c r="D1512" s="12"/>
      <c r="E1512" s="12"/>
      <c r="F1512" s="12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</row>
    <row r="1513">
      <c r="A1513" s="16"/>
      <c r="B1513" s="12"/>
      <c r="C1513" s="12"/>
      <c r="D1513" s="12"/>
      <c r="E1513" s="12"/>
      <c r="F1513" s="12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</row>
    <row r="1514">
      <c r="A1514" s="16"/>
      <c r="B1514" s="12"/>
      <c r="C1514" s="12"/>
      <c r="D1514" s="12"/>
      <c r="E1514" s="12"/>
      <c r="F1514" s="12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</row>
    <row r="1515">
      <c r="A1515" s="16"/>
      <c r="B1515" s="12"/>
      <c r="C1515" s="12"/>
      <c r="D1515" s="12"/>
      <c r="E1515" s="12"/>
      <c r="F1515" s="12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</row>
    <row r="1516">
      <c r="A1516" s="16"/>
      <c r="B1516" s="12"/>
      <c r="C1516" s="12"/>
      <c r="D1516" s="12"/>
      <c r="E1516" s="12"/>
      <c r="F1516" s="12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</row>
    <row r="1517">
      <c r="A1517" s="16"/>
      <c r="B1517" s="12"/>
      <c r="C1517" s="12"/>
      <c r="D1517" s="12"/>
      <c r="E1517" s="12"/>
      <c r="F1517" s="12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</row>
    <row r="1518">
      <c r="A1518" s="16"/>
      <c r="B1518" s="12"/>
      <c r="C1518" s="12"/>
      <c r="D1518" s="12"/>
      <c r="E1518" s="12"/>
      <c r="F1518" s="12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</row>
    <row r="1519">
      <c r="A1519" s="16"/>
      <c r="B1519" s="12"/>
      <c r="C1519" s="12"/>
      <c r="D1519" s="12"/>
      <c r="E1519" s="12"/>
      <c r="F1519" s="12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</row>
    <row r="1520">
      <c r="A1520" s="16"/>
      <c r="B1520" s="12"/>
      <c r="C1520" s="12"/>
      <c r="D1520" s="12"/>
      <c r="E1520" s="12"/>
      <c r="F1520" s="12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</row>
    <row r="1521">
      <c r="A1521" s="16"/>
      <c r="B1521" s="12"/>
      <c r="C1521" s="12"/>
      <c r="D1521" s="12"/>
      <c r="E1521" s="12"/>
      <c r="F1521" s="12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</row>
    <row r="1522">
      <c r="A1522" s="16"/>
      <c r="B1522" s="12"/>
      <c r="C1522" s="12"/>
      <c r="D1522" s="12"/>
      <c r="E1522" s="12"/>
      <c r="F1522" s="12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</row>
    <row r="1523">
      <c r="A1523" s="16"/>
      <c r="B1523" s="12"/>
      <c r="C1523" s="12"/>
      <c r="D1523" s="12"/>
      <c r="E1523" s="12"/>
      <c r="F1523" s="12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</row>
    <row r="1524">
      <c r="A1524" s="16"/>
      <c r="B1524" s="12"/>
      <c r="C1524" s="12"/>
      <c r="D1524" s="12"/>
      <c r="E1524" s="12"/>
      <c r="F1524" s="12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</row>
    <row r="1525">
      <c r="A1525" s="16"/>
      <c r="B1525" s="12"/>
      <c r="C1525" s="12"/>
      <c r="D1525" s="12"/>
      <c r="E1525" s="12"/>
      <c r="F1525" s="12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</row>
    <row r="1526">
      <c r="A1526" s="16"/>
      <c r="B1526" s="12"/>
      <c r="C1526" s="12"/>
      <c r="D1526" s="12"/>
      <c r="E1526" s="12"/>
      <c r="F1526" s="12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</row>
    <row r="1527">
      <c r="A1527" s="16"/>
      <c r="B1527" s="12"/>
      <c r="C1527" s="12"/>
      <c r="D1527" s="12"/>
      <c r="E1527" s="12"/>
      <c r="F1527" s="12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</row>
    <row r="1528">
      <c r="A1528" s="16"/>
      <c r="B1528" s="12"/>
      <c r="C1528" s="12"/>
      <c r="D1528" s="12"/>
      <c r="E1528" s="12"/>
      <c r="F1528" s="12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</row>
    <row r="1529">
      <c r="A1529" s="16"/>
      <c r="B1529" s="12"/>
      <c r="C1529" s="12"/>
      <c r="D1529" s="12"/>
      <c r="E1529" s="12"/>
      <c r="F1529" s="12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</row>
    <row r="1530">
      <c r="A1530" s="16"/>
      <c r="B1530" s="12"/>
      <c r="C1530" s="12"/>
      <c r="D1530" s="12"/>
      <c r="E1530" s="12"/>
      <c r="F1530" s="12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</row>
    <row r="1531">
      <c r="A1531" s="16"/>
      <c r="B1531" s="12"/>
      <c r="C1531" s="12"/>
      <c r="D1531" s="12"/>
      <c r="E1531" s="12"/>
      <c r="F1531" s="12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</row>
    <row r="1532">
      <c r="A1532" s="16"/>
      <c r="B1532" s="12"/>
      <c r="C1532" s="12"/>
      <c r="D1532" s="12"/>
      <c r="E1532" s="12"/>
      <c r="F1532" s="12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</row>
    <row r="1533">
      <c r="A1533" s="16"/>
      <c r="B1533" s="12"/>
      <c r="C1533" s="12"/>
      <c r="D1533" s="12"/>
      <c r="E1533" s="12"/>
      <c r="F1533" s="12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</row>
    <row r="1534">
      <c r="A1534" s="16"/>
      <c r="B1534" s="12"/>
      <c r="C1534" s="12"/>
      <c r="D1534" s="12"/>
      <c r="E1534" s="12"/>
      <c r="F1534" s="12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</row>
    <row r="1535">
      <c r="A1535" s="16"/>
      <c r="B1535" s="12"/>
      <c r="C1535" s="12"/>
      <c r="D1535" s="12"/>
      <c r="E1535" s="12"/>
      <c r="F1535" s="12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</row>
    <row r="1536">
      <c r="A1536" s="16"/>
      <c r="B1536" s="12"/>
      <c r="C1536" s="12"/>
      <c r="D1536" s="12"/>
      <c r="E1536" s="12"/>
      <c r="F1536" s="12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</row>
    <row r="1537">
      <c r="A1537" s="16"/>
      <c r="B1537" s="12"/>
      <c r="C1537" s="12"/>
      <c r="D1537" s="12"/>
      <c r="E1537" s="12"/>
      <c r="F1537" s="12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</row>
    <row r="1538">
      <c r="A1538" s="16"/>
      <c r="B1538" s="12"/>
      <c r="C1538" s="12"/>
      <c r="D1538" s="12"/>
      <c r="E1538" s="12"/>
      <c r="F1538" s="12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</row>
    <row r="1539">
      <c r="A1539" s="16"/>
      <c r="B1539" s="12"/>
      <c r="C1539" s="12"/>
      <c r="D1539" s="12"/>
      <c r="E1539" s="12"/>
      <c r="F1539" s="12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</row>
    <row r="1540">
      <c r="A1540" s="16"/>
      <c r="B1540" s="12"/>
      <c r="C1540" s="12"/>
      <c r="D1540" s="12"/>
      <c r="E1540" s="12"/>
      <c r="F1540" s="12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</row>
    <row r="1541">
      <c r="A1541" s="16"/>
      <c r="B1541" s="12"/>
      <c r="C1541" s="12"/>
      <c r="D1541" s="12"/>
      <c r="E1541" s="12"/>
      <c r="F1541" s="12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</row>
    <row r="1542">
      <c r="A1542" s="16"/>
      <c r="B1542" s="12"/>
      <c r="C1542" s="12"/>
      <c r="D1542" s="12"/>
      <c r="E1542" s="12"/>
      <c r="F1542" s="12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</row>
    <row r="1543">
      <c r="A1543" s="16"/>
      <c r="B1543" s="12"/>
      <c r="C1543" s="12"/>
      <c r="D1543" s="12"/>
      <c r="E1543" s="12"/>
      <c r="F1543" s="12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</row>
    <row r="1544">
      <c r="A1544" s="16"/>
      <c r="B1544" s="12"/>
      <c r="C1544" s="12"/>
      <c r="D1544" s="12"/>
      <c r="E1544" s="12"/>
      <c r="F1544" s="12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</row>
    <row r="1545">
      <c r="A1545" s="16"/>
      <c r="B1545" s="12"/>
      <c r="C1545" s="12"/>
      <c r="D1545" s="12"/>
      <c r="E1545" s="12"/>
      <c r="F1545" s="12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</row>
    <row r="1546">
      <c r="A1546" s="16"/>
      <c r="B1546" s="12"/>
      <c r="C1546" s="12"/>
      <c r="D1546" s="12"/>
      <c r="E1546" s="12"/>
      <c r="F1546" s="12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</row>
    <row r="1547">
      <c r="A1547" s="16"/>
      <c r="B1547" s="12"/>
      <c r="C1547" s="12"/>
      <c r="D1547" s="12"/>
      <c r="E1547" s="12"/>
      <c r="F1547" s="12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</row>
    <row r="1548">
      <c r="A1548" s="16"/>
      <c r="B1548" s="12"/>
      <c r="C1548" s="12"/>
      <c r="D1548" s="12"/>
      <c r="E1548" s="12"/>
      <c r="F1548" s="12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</row>
    <row r="1549">
      <c r="A1549" s="16"/>
      <c r="B1549" s="12"/>
      <c r="C1549" s="12"/>
      <c r="D1549" s="12"/>
      <c r="E1549" s="12"/>
      <c r="F1549" s="12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</row>
    <row r="1550">
      <c r="A1550" s="16"/>
      <c r="B1550" s="12"/>
      <c r="C1550" s="12"/>
      <c r="D1550" s="12"/>
      <c r="E1550" s="12"/>
      <c r="F1550" s="12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</row>
    <row r="1551">
      <c r="A1551" s="16"/>
      <c r="B1551" s="12"/>
      <c r="C1551" s="12"/>
      <c r="D1551" s="12"/>
      <c r="E1551" s="12"/>
      <c r="F1551" s="12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</row>
    <row r="1552">
      <c r="A1552" s="16"/>
      <c r="B1552" s="12"/>
      <c r="C1552" s="12"/>
      <c r="D1552" s="12"/>
      <c r="E1552" s="12"/>
      <c r="F1552" s="12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</row>
    <row r="1553">
      <c r="A1553" s="16"/>
      <c r="B1553" s="12"/>
      <c r="C1553" s="12"/>
      <c r="D1553" s="12"/>
      <c r="E1553" s="12"/>
      <c r="F1553" s="12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</row>
    <row r="1554">
      <c r="A1554" s="16"/>
      <c r="B1554" s="12"/>
      <c r="C1554" s="12"/>
      <c r="D1554" s="12"/>
      <c r="E1554" s="12"/>
      <c r="F1554" s="12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</row>
    <row r="1555">
      <c r="A1555" s="16"/>
      <c r="B1555" s="12"/>
      <c r="C1555" s="12"/>
      <c r="D1555" s="12"/>
      <c r="E1555" s="12"/>
      <c r="F1555" s="12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</row>
    <row r="1556">
      <c r="A1556" s="16"/>
      <c r="B1556" s="12"/>
      <c r="C1556" s="12"/>
      <c r="D1556" s="12"/>
      <c r="E1556" s="12"/>
      <c r="F1556" s="12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</row>
    <row r="1557">
      <c r="A1557" s="16"/>
      <c r="B1557" s="12"/>
      <c r="C1557" s="12"/>
      <c r="D1557" s="12"/>
      <c r="E1557" s="12"/>
      <c r="F1557" s="12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</row>
    <row r="1558">
      <c r="A1558" s="16"/>
      <c r="B1558" s="12"/>
      <c r="C1558" s="12"/>
      <c r="D1558" s="12"/>
      <c r="E1558" s="12"/>
      <c r="F1558" s="12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</row>
    <row r="1559">
      <c r="A1559" s="16"/>
      <c r="B1559" s="12"/>
      <c r="C1559" s="12"/>
      <c r="D1559" s="12"/>
      <c r="E1559" s="12"/>
      <c r="F1559" s="12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</row>
    <row r="1560">
      <c r="A1560" s="16"/>
      <c r="B1560" s="12"/>
      <c r="C1560" s="12"/>
      <c r="D1560" s="12"/>
      <c r="E1560" s="12"/>
      <c r="F1560" s="12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</row>
    <row r="1561">
      <c r="A1561" s="16"/>
      <c r="B1561" s="12"/>
      <c r="C1561" s="12"/>
      <c r="D1561" s="12"/>
      <c r="E1561" s="12"/>
      <c r="F1561" s="12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</row>
    <row r="1562">
      <c r="A1562" s="16"/>
      <c r="B1562" s="12"/>
      <c r="C1562" s="12"/>
      <c r="D1562" s="12"/>
      <c r="E1562" s="12"/>
      <c r="F1562" s="12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</row>
    <row r="1563">
      <c r="A1563" s="16"/>
      <c r="B1563" s="12"/>
      <c r="C1563" s="12"/>
      <c r="D1563" s="12"/>
      <c r="E1563" s="12"/>
      <c r="F1563" s="12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</row>
    <row r="1564">
      <c r="A1564" s="16"/>
      <c r="B1564" s="12"/>
      <c r="C1564" s="12"/>
      <c r="D1564" s="12"/>
      <c r="E1564" s="12"/>
      <c r="F1564" s="12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</row>
    <row r="1565">
      <c r="A1565" s="16"/>
      <c r="B1565" s="12"/>
      <c r="C1565" s="12"/>
      <c r="D1565" s="12"/>
      <c r="E1565" s="12"/>
      <c r="F1565" s="12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</row>
    <row r="1566">
      <c r="A1566" s="16"/>
      <c r="B1566" s="12"/>
      <c r="C1566" s="12"/>
      <c r="D1566" s="12"/>
      <c r="E1566" s="12"/>
      <c r="F1566" s="12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</row>
    <row r="1567">
      <c r="A1567" s="16"/>
      <c r="B1567" s="12"/>
      <c r="C1567" s="12"/>
      <c r="D1567" s="12"/>
      <c r="E1567" s="12"/>
      <c r="F1567" s="12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</row>
    <row r="1568">
      <c r="A1568" s="16"/>
      <c r="B1568" s="12"/>
      <c r="C1568" s="12"/>
      <c r="D1568" s="12"/>
      <c r="E1568" s="12"/>
      <c r="F1568" s="12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</row>
    <row r="1569">
      <c r="A1569" s="16"/>
      <c r="B1569" s="12"/>
      <c r="C1569" s="12"/>
      <c r="D1569" s="12"/>
      <c r="E1569" s="12"/>
      <c r="F1569" s="12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</row>
    <row r="1570">
      <c r="A1570" s="16"/>
      <c r="B1570" s="12"/>
      <c r="C1570" s="12"/>
      <c r="D1570" s="12"/>
      <c r="E1570" s="12"/>
      <c r="F1570" s="12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</row>
    <row r="1571">
      <c r="A1571" s="16"/>
      <c r="B1571" s="12"/>
      <c r="C1571" s="12"/>
      <c r="D1571" s="12"/>
      <c r="E1571" s="12"/>
      <c r="F1571" s="12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</row>
    <row r="1572">
      <c r="A1572" s="16"/>
      <c r="B1572" s="12"/>
      <c r="C1572" s="12"/>
      <c r="D1572" s="12"/>
      <c r="E1572" s="12"/>
      <c r="F1572" s="12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</row>
    <row r="1573">
      <c r="A1573" s="16"/>
      <c r="B1573" s="12"/>
      <c r="C1573" s="12"/>
      <c r="D1573" s="12"/>
      <c r="E1573" s="12"/>
      <c r="F1573" s="12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</row>
    <row r="1574">
      <c r="A1574" s="16"/>
      <c r="B1574" s="12"/>
      <c r="C1574" s="12"/>
      <c r="D1574" s="12"/>
      <c r="E1574" s="12"/>
      <c r="F1574" s="12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</row>
    <row r="1575">
      <c r="A1575" s="16"/>
      <c r="B1575" s="12"/>
      <c r="C1575" s="12"/>
      <c r="D1575" s="12"/>
      <c r="E1575" s="12"/>
      <c r="F1575" s="12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</row>
    <row r="1576">
      <c r="A1576" s="16"/>
      <c r="B1576" s="12"/>
      <c r="C1576" s="12"/>
      <c r="D1576" s="12"/>
      <c r="E1576" s="12"/>
      <c r="F1576" s="12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</row>
    <row r="1577">
      <c r="A1577" s="16"/>
      <c r="B1577" s="12"/>
      <c r="C1577" s="12"/>
      <c r="D1577" s="12"/>
      <c r="E1577" s="12"/>
      <c r="F1577" s="12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</row>
    <row r="1578">
      <c r="A1578" s="16"/>
      <c r="B1578" s="12"/>
      <c r="C1578" s="12"/>
      <c r="D1578" s="12"/>
      <c r="E1578" s="12"/>
      <c r="F1578" s="12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</row>
    <row r="1579">
      <c r="A1579" s="16"/>
      <c r="B1579" s="12"/>
      <c r="C1579" s="12"/>
      <c r="D1579" s="12"/>
      <c r="E1579" s="12"/>
      <c r="F1579" s="12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</row>
    <row r="1580">
      <c r="A1580" s="16"/>
      <c r="B1580" s="12"/>
      <c r="C1580" s="12"/>
      <c r="D1580" s="12"/>
      <c r="E1580" s="12"/>
      <c r="F1580" s="12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</row>
    <row r="1581">
      <c r="A1581" s="16"/>
      <c r="B1581" s="12"/>
      <c r="C1581" s="12"/>
      <c r="D1581" s="12"/>
      <c r="E1581" s="12"/>
      <c r="F1581" s="12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</row>
    <row r="1582">
      <c r="A1582" s="16"/>
      <c r="B1582" s="12"/>
      <c r="C1582" s="12"/>
      <c r="D1582" s="12"/>
      <c r="E1582" s="12"/>
      <c r="F1582" s="12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</row>
    <row r="1583">
      <c r="A1583" s="16"/>
      <c r="B1583" s="12"/>
      <c r="C1583" s="12"/>
      <c r="D1583" s="12"/>
      <c r="E1583" s="12"/>
      <c r="F1583" s="12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</row>
    <row r="1584">
      <c r="A1584" s="16"/>
      <c r="B1584" s="12"/>
      <c r="C1584" s="12"/>
      <c r="D1584" s="12"/>
      <c r="E1584" s="12"/>
      <c r="F1584" s="12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</row>
    <row r="1585">
      <c r="A1585" s="16"/>
      <c r="B1585" s="12"/>
      <c r="C1585" s="12"/>
      <c r="D1585" s="12"/>
      <c r="E1585" s="12"/>
      <c r="F1585" s="12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</row>
    <row r="1586">
      <c r="A1586" s="16"/>
      <c r="B1586" s="12"/>
      <c r="C1586" s="12"/>
      <c r="D1586" s="12"/>
      <c r="E1586" s="12"/>
      <c r="F1586" s="12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</row>
    <row r="1587">
      <c r="A1587" s="16"/>
      <c r="B1587" s="12"/>
      <c r="C1587" s="12"/>
      <c r="D1587" s="12"/>
      <c r="E1587" s="12"/>
      <c r="F1587" s="12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</row>
    <row r="1588">
      <c r="A1588" s="16"/>
      <c r="B1588" s="12"/>
      <c r="C1588" s="12"/>
      <c r="D1588" s="12"/>
      <c r="E1588" s="12"/>
      <c r="F1588" s="12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</row>
    <row r="1589">
      <c r="A1589" s="16"/>
      <c r="B1589" s="12"/>
      <c r="C1589" s="12"/>
      <c r="D1589" s="12"/>
      <c r="E1589" s="12"/>
      <c r="F1589" s="12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</row>
    <row r="1590">
      <c r="A1590" s="16"/>
      <c r="B1590" s="12"/>
      <c r="C1590" s="12"/>
      <c r="D1590" s="12"/>
      <c r="E1590" s="12"/>
      <c r="F1590" s="12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</row>
    <row r="1591">
      <c r="A1591" s="16"/>
      <c r="B1591" s="12"/>
      <c r="C1591" s="12"/>
      <c r="D1591" s="12"/>
      <c r="E1591" s="12"/>
      <c r="F1591" s="12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</row>
    <row r="1592">
      <c r="A1592" s="16"/>
      <c r="B1592" s="12"/>
      <c r="C1592" s="12"/>
      <c r="D1592" s="12"/>
      <c r="E1592" s="12"/>
      <c r="F1592" s="12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</row>
    <row r="1593">
      <c r="A1593" s="16"/>
      <c r="B1593" s="12"/>
      <c r="C1593" s="12"/>
      <c r="D1593" s="12"/>
      <c r="E1593" s="12"/>
      <c r="F1593" s="12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</row>
    <row r="1594">
      <c r="A1594" s="16"/>
      <c r="B1594" s="12"/>
      <c r="C1594" s="12"/>
      <c r="D1594" s="12"/>
      <c r="E1594" s="12"/>
      <c r="F1594" s="12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</row>
    <row r="1595">
      <c r="A1595" s="16"/>
      <c r="B1595" s="12"/>
      <c r="C1595" s="12"/>
      <c r="D1595" s="12"/>
      <c r="E1595" s="12"/>
      <c r="F1595" s="12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</row>
    <row r="1596">
      <c r="A1596" s="16"/>
      <c r="B1596" s="12"/>
      <c r="C1596" s="12"/>
      <c r="D1596" s="12"/>
      <c r="E1596" s="12"/>
      <c r="F1596" s="12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</row>
    <row r="1597">
      <c r="A1597" s="16"/>
      <c r="B1597" s="12"/>
      <c r="C1597" s="12"/>
      <c r="D1597" s="12"/>
      <c r="E1597" s="12"/>
      <c r="F1597" s="12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</row>
    <row r="1598">
      <c r="A1598" s="16"/>
      <c r="B1598" s="12"/>
      <c r="C1598" s="12"/>
      <c r="D1598" s="12"/>
      <c r="E1598" s="12"/>
      <c r="F1598" s="12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</row>
    <row r="1599">
      <c r="A1599" s="16"/>
      <c r="B1599" s="12"/>
      <c r="C1599" s="12"/>
      <c r="D1599" s="12"/>
      <c r="E1599" s="12"/>
      <c r="F1599" s="12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</row>
    <row r="1600">
      <c r="A1600" s="16"/>
      <c r="B1600" s="12"/>
      <c r="C1600" s="12"/>
      <c r="D1600" s="12"/>
      <c r="E1600" s="12"/>
      <c r="F1600" s="12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</row>
    <row r="1601">
      <c r="A1601" s="16"/>
      <c r="B1601" s="12"/>
      <c r="C1601" s="12"/>
      <c r="D1601" s="12"/>
      <c r="E1601" s="12"/>
      <c r="F1601" s="12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</row>
    <row r="1602">
      <c r="A1602" s="16"/>
      <c r="B1602" s="12"/>
      <c r="C1602" s="12"/>
      <c r="D1602" s="12"/>
      <c r="E1602" s="12"/>
      <c r="F1602" s="12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</row>
    <row r="1603">
      <c r="A1603" s="16"/>
      <c r="B1603" s="12"/>
      <c r="C1603" s="12"/>
      <c r="D1603" s="12"/>
      <c r="E1603" s="12"/>
      <c r="F1603" s="12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</row>
    <row r="1604">
      <c r="A1604" s="16"/>
      <c r="B1604" s="12"/>
      <c r="C1604" s="12"/>
      <c r="D1604" s="12"/>
      <c r="E1604" s="12"/>
      <c r="F1604" s="12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</row>
    <row r="1605">
      <c r="A1605" s="16"/>
      <c r="B1605" s="12"/>
      <c r="C1605" s="12"/>
      <c r="D1605" s="12"/>
      <c r="E1605" s="12"/>
      <c r="F1605" s="12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</row>
    <row r="1606">
      <c r="A1606" s="16"/>
      <c r="B1606" s="12"/>
      <c r="C1606" s="12"/>
      <c r="D1606" s="12"/>
      <c r="E1606" s="12"/>
      <c r="F1606" s="12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</row>
    <row r="1607">
      <c r="A1607" s="16"/>
      <c r="B1607" s="12"/>
      <c r="C1607" s="12"/>
      <c r="D1607" s="12"/>
      <c r="E1607" s="12"/>
      <c r="F1607" s="12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</row>
    <row r="1608">
      <c r="A1608" s="16"/>
      <c r="B1608" s="12"/>
      <c r="C1608" s="12"/>
      <c r="D1608" s="12"/>
      <c r="E1608" s="12"/>
      <c r="F1608" s="12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</row>
    <row r="1609">
      <c r="A1609" s="16"/>
      <c r="B1609" s="12"/>
      <c r="C1609" s="12"/>
      <c r="D1609" s="12"/>
      <c r="E1609" s="12"/>
      <c r="F1609" s="12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</row>
    <row r="1610">
      <c r="A1610" s="16"/>
      <c r="B1610" s="12"/>
      <c r="C1610" s="12"/>
      <c r="D1610" s="12"/>
      <c r="E1610" s="12"/>
      <c r="F1610" s="12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</row>
    <row r="1611">
      <c r="A1611" s="16"/>
      <c r="B1611" s="12"/>
      <c r="C1611" s="12"/>
      <c r="D1611" s="12"/>
      <c r="E1611" s="12"/>
      <c r="F1611" s="12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</row>
    <row r="1612">
      <c r="A1612" s="16"/>
      <c r="B1612" s="12"/>
      <c r="C1612" s="12"/>
      <c r="D1612" s="12"/>
      <c r="E1612" s="12"/>
      <c r="F1612" s="12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</row>
    <row r="1613">
      <c r="A1613" s="16"/>
      <c r="B1613" s="12"/>
      <c r="C1613" s="12"/>
      <c r="D1613" s="12"/>
      <c r="E1613" s="12"/>
      <c r="F1613" s="12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</row>
    <row r="1614">
      <c r="A1614" s="16"/>
      <c r="B1614" s="12"/>
      <c r="C1614" s="12"/>
      <c r="D1614" s="12"/>
      <c r="E1614" s="12"/>
      <c r="F1614" s="12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</row>
    <row r="1615">
      <c r="A1615" s="16"/>
      <c r="B1615" s="12"/>
      <c r="C1615" s="12"/>
      <c r="D1615" s="12"/>
      <c r="E1615" s="12"/>
      <c r="F1615" s="12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</row>
    <row r="1616">
      <c r="A1616" s="16"/>
      <c r="B1616" s="12"/>
      <c r="C1616" s="12"/>
      <c r="D1616" s="12"/>
      <c r="E1616" s="12"/>
      <c r="F1616" s="12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</row>
    <row r="1617">
      <c r="A1617" s="16"/>
      <c r="B1617" s="12"/>
      <c r="C1617" s="12"/>
      <c r="D1617" s="12"/>
      <c r="E1617" s="12"/>
      <c r="F1617" s="12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</row>
    <row r="1618">
      <c r="A1618" s="16"/>
      <c r="B1618" s="12"/>
      <c r="C1618" s="12"/>
      <c r="D1618" s="12"/>
      <c r="E1618" s="12"/>
      <c r="F1618" s="12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</row>
    <row r="1619">
      <c r="A1619" s="16"/>
      <c r="B1619" s="12"/>
      <c r="C1619" s="12"/>
      <c r="D1619" s="12"/>
      <c r="E1619" s="12"/>
      <c r="F1619" s="12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</row>
    <row r="1620">
      <c r="A1620" s="16"/>
      <c r="B1620" s="12"/>
      <c r="C1620" s="12"/>
      <c r="D1620" s="12"/>
      <c r="E1620" s="12"/>
      <c r="F1620" s="12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</row>
    <row r="1621">
      <c r="A1621" s="16"/>
      <c r="B1621" s="12"/>
      <c r="C1621" s="12"/>
      <c r="D1621" s="12"/>
      <c r="E1621" s="12"/>
      <c r="F1621" s="12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</row>
    <row r="1622">
      <c r="A1622" s="16"/>
      <c r="B1622" s="12"/>
      <c r="C1622" s="12"/>
      <c r="D1622" s="12"/>
      <c r="E1622" s="12"/>
      <c r="F1622" s="12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</row>
    <row r="1623">
      <c r="A1623" s="16"/>
      <c r="B1623" s="12"/>
      <c r="C1623" s="12"/>
      <c r="D1623" s="12"/>
      <c r="E1623" s="12"/>
      <c r="F1623" s="12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</row>
    <row r="1624">
      <c r="A1624" s="16"/>
      <c r="B1624" s="12"/>
      <c r="C1624" s="12"/>
      <c r="D1624" s="12"/>
      <c r="E1624" s="12"/>
      <c r="F1624" s="12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</row>
    <row r="1625">
      <c r="A1625" s="16"/>
      <c r="B1625" s="12"/>
      <c r="C1625" s="12"/>
      <c r="D1625" s="12"/>
      <c r="E1625" s="12"/>
      <c r="F1625" s="12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</row>
    <row r="1626">
      <c r="A1626" s="16"/>
      <c r="B1626" s="12"/>
      <c r="C1626" s="12"/>
      <c r="D1626" s="12"/>
      <c r="E1626" s="12"/>
      <c r="F1626" s="12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</row>
    <row r="1627">
      <c r="A1627" s="16"/>
      <c r="B1627" s="12"/>
      <c r="C1627" s="12"/>
      <c r="D1627" s="12"/>
      <c r="E1627" s="12"/>
      <c r="F1627" s="12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</row>
    <row r="1628">
      <c r="A1628" s="16"/>
      <c r="B1628" s="12"/>
      <c r="C1628" s="12"/>
      <c r="D1628" s="12"/>
      <c r="E1628" s="12"/>
      <c r="F1628" s="12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</row>
    <row r="1629">
      <c r="A1629" s="16"/>
      <c r="B1629" s="12"/>
      <c r="C1629" s="12"/>
      <c r="D1629" s="12"/>
      <c r="E1629" s="12"/>
      <c r="F1629" s="12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</row>
    <row r="1630">
      <c r="A1630" s="16"/>
      <c r="B1630" s="12"/>
      <c r="C1630" s="12"/>
      <c r="D1630" s="12"/>
      <c r="E1630" s="12"/>
      <c r="F1630" s="12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</row>
    <row r="1631">
      <c r="A1631" s="16"/>
      <c r="B1631" s="12"/>
      <c r="C1631" s="12"/>
      <c r="D1631" s="12"/>
      <c r="E1631" s="12"/>
      <c r="F1631" s="12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</row>
    <row r="1632">
      <c r="A1632" s="16"/>
      <c r="B1632" s="12"/>
      <c r="C1632" s="12"/>
      <c r="D1632" s="12"/>
      <c r="E1632" s="12"/>
      <c r="F1632" s="12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</row>
    <row r="1633">
      <c r="A1633" s="16"/>
      <c r="B1633" s="12"/>
      <c r="C1633" s="12"/>
      <c r="D1633" s="12"/>
      <c r="E1633" s="12"/>
      <c r="F1633" s="12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</row>
    <row r="1634">
      <c r="A1634" s="16"/>
      <c r="B1634" s="12"/>
      <c r="C1634" s="12"/>
      <c r="D1634" s="12"/>
      <c r="E1634" s="12"/>
      <c r="F1634" s="12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</row>
    <row r="1635">
      <c r="A1635" s="16"/>
      <c r="B1635" s="12"/>
      <c r="C1635" s="12"/>
      <c r="D1635" s="12"/>
      <c r="E1635" s="12"/>
      <c r="F1635" s="12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</row>
    <row r="1636">
      <c r="A1636" s="16"/>
      <c r="B1636" s="12"/>
      <c r="C1636" s="12"/>
      <c r="D1636" s="12"/>
      <c r="E1636" s="12"/>
      <c r="F1636" s="12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</row>
    <row r="1637">
      <c r="A1637" s="16"/>
      <c r="B1637" s="12"/>
      <c r="C1637" s="12"/>
      <c r="D1637" s="12"/>
      <c r="E1637" s="12"/>
      <c r="F1637" s="12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</row>
    <row r="1638">
      <c r="A1638" s="16"/>
      <c r="B1638" s="12"/>
      <c r="C1638" s="12"/>
      <c r="D1638" s="12"/>
      <c r="E1638" s="12"/>
      <c r="F1638" s="12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</row>
    <row r="1639">
      <c r="A1639" s="16"/>
      <c r="B1639" s="12"/>
      <c r="C1639" s="12"/>
      <c r="D1639" s="12"/>
      <c r="E1639" s="12"/>
      <c r="F1639" s="12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</row>
    <row r="1640">
      <c r="A1640" s="16"/>
      <c r="B1640" s="12"/>
      <c r="C1640" s="12"/>
      <c r="D1640" s="12"/>
      <c r="E1640" s="12"/>
      <c r="F1640" s="12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</row>
    <row r="1641">
      <c r="A1641" s="16"/>
      <c r="B1641" s="12"/>
      <c r="C1641" s="12"/>
      <c r="D1641" s="12"/>
      <c r="E1641" s="12"/>
      <c r="F1641" s="12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</row>
    <row r="1642">
      <c r="A1642" s="16"/>
      <c r="B1642" s="12"/>
      <c r="C1642" s="12"/>
      <c r="D1642" s="12"/>
      <c r="E1642" s="12"/>
      <c r="F1642" s="12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</row>
    <row r="1643">
      <c r="A1643" s="16"/>
      <c r="B1643" s="12"/>
      <c r="C1643" s="12"/>
      <c r="D1643" s="12"/>
      <c r="E1643" s="12"/>
      <c r="F1643" s="12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</row>
    <row r="1644">
      <c r="A1644" s="16"/>
      <c r="B1644" s="12"/>
      <c r="C1644" s="12"/>
      <c r="D1644" s="12"/>
      <c r="E1644" s="12"/>
      <c r="F1644" s="12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</row>
    <row r="1645">
      <c r="A1645" s="16"/>
      <c r="B1645" s="12"/>
      <c r="C1645" s="12"/>
      <c r="D1645" s="12"/>
      <c r="E1645" s="12"/>
      <c r="F1645" s="12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</row>
    <row r="1646">
      <c r="A1646" s="16"/>
      <c r="B1646" s="12"/>
      <c r="C1646" s="12"/>
      <c r="D1646" s="12"/>
      <c r="E1646" s="12"/>
      <c r="F1646" s="12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</row>
    <row r="1647">
      <c r="A1647" s="16"/>
      <c r="B1647" s="12"/>
      <c r="C1647" s="12"/>
      <c r="D1647" s="12"/>
      <c r="E1647" s="12"/>
      <c r="F1647" s="12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</row>
    <row r="1648">
      <c r="A1648" s="16"/>
      <c r="B1648" s="12"/>
      <c r="C1648" s="12"/>
      <c r="D1648" s="12"/>
      <c r="E1648" s="12"/>
      <c r="F1648" s="12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</row>
    <row r="1649">
      <c r="A1649" s="16"/>
      <c r="B1649" s="12"/>
      <c r="C1649" s="12"/>
      <c r="D1649" s="12"/>
      <c r="E1649" s="12"/>
      <c r="F1649" s="12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</row>
    <row r="1650">
      <c r="A1650" s="16"/>
      <c r="B1650" s="12"/>
      <c r="C1650" s="12"/>
      <c r="D1650" s="12"/>
      <c r="E1650" s="12"/>
      <c r="F1650" s="12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</row>
    <row r="1651">
      <c r="A1651" s="16"/>
      <c r="B1651" s="12"/>
      <c r="C1651" s="12"/>
      <c r="D1651" s="12"/>
      <c r="E1651" s="12"/>
      <c r="F1651" s="12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</row>
    <row r="1652">
      <c r="A1652" s="16"/>
      <c r="B1652" s="12"/>
      <c r="C1652" s="12"/>
      <c r="D1652" s="12"/>
      <c r="E1652" s="12"/>
      <c r="F1652" s="12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</row>
    <row r="1653">
      <c r="A1653" s="16"/>
      <c r="B1653" s="12"/>
      <c r="C1653" s="12"/>
      <c r="D1653" s="12"/>
      <c r="E1653" s="12"/>
      <c r="F1653" s="12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</row>
    <row r="1654">
      <c r="A1654" s="16"/>
      <c r="B1654" s="12"/>
      <c r="C1654" s="12"/>
      <c r="D1654" s="12"/>
      <c r="E1654" s="12"/>
      <c r="F1654" s="12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</row>
    <row r="1655">
      <c r="A1655" s="16"/>
      <c r="B1655" s="12"/>
      <c r="C1655" s="12"/>
      <c r="D1655" s="12"/>
      <c r="E1655" s="12"/>
      <c r="F1655" s="12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</row>
    <row r="1656">
      <c r="A1656" s="16"/>
      <c r="B1656" s="12"/>
      <c r="C1656" s="12"/>
      <c r="D1656" s="12"/>
      <c r="E1656" s="12"/>
      <c r="F1656" s="12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</row>
    <row r="1657">
      <c r="A1657" s="16"/>
      <c r="B1657" s="12"/>
      <c r="C1657" s="12"/>
      <c r="D1657" s="12"/>
      <c r="E1657" s="12"/>
      <c r="F1657" s="12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</row>
    <row r="1658">
      <c r="A1658" s="16"/>
      <c r="B1658" s="12"/>
      <c r="C1658" s="12"/>
      <c r="D1658" s="12"/>
      <c r="E1658" s="12"/>
      <c r="F1658" s="12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</row>
    <row r="1659">
      <c r="A1659" s="16"/>
      <c r="B1659" s="12"/>
      <c r="C1659" s="12"/>
      <c r="D1659" s="12"/>
      <c r="E1659" s="12"/>
      <c r="F1659" s="12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</row>
    <row r="1660">
      <c r="A1660" s="16"/>
      <c r="B1660" s="12"/>
      <c r="C1660" s="12"/>
      <c r="D1660" s="12"/>
      <c r="E1660" s="12"/>
      <c r="F1660" s="12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</row>
    <row r="1661">
      <c r="A1661" s="16"/>
      <c r="B1661" s="12"/>
      <c r="C1661" s="12"/>
      <c r="D1661" s="12"/>
      <c r="E1661" s="12"/>
      <c r="F1661" s="12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</row>
    <row r="1662">
      <c r="A1662" s="16"/>
      <c r="B1662" s="12"/>
      <c r="C1662" s="12"/>
      <c r="D1662" s="12"/>
      <c r="E1662" s="12"/>
      <c r="F1662" s="12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</row>
    <row r="1663">
      <c r="A1663" s="16"/>
      <c r="B1663" s="12"/>
      <c r="C1663" s="12"/>
      <c r="D1663" s="12"/>
      <c r="E1663" s="12"/>
      <c r="F1663" s="12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</row>
    <row r="1664">
      <c r="A1664" s="16"/>
      <c r="B1664" s="12"/>
      <c r="C1664" s="12"/>
      <c r="D1664" s="12"/>
      <c r="E1664" s="12"/>
      <c r="F1664" s="12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</row>
    <row r="1665">
      <c r="A1665" s="16"/>
      <c r="B1665" s="12"/>
      <c r="C1665" s="12"/>
      <c r="D1665" s="12"/>
      <c r="E1665" s="12"/>
      <c r="F1665" s="12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</row>
    <row r="1666">
      <c r="A1666" s="16"/>
      <c r="B1666" s="12"/>
      <c r="C1666" s="12"/>
      <c r="D1666" s="12"/>
      <c r="E1666" s="12"/>
      <c r="F1666" s="12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</row>
    <row r="1667">
      <c r="A1667" s="16"/>
      <c r="B1667" s="12"/>
      <c r="C1667" s="12"/>
      <c r="D1667" s="12"/>
      <c r="E1667" s="12"/>
      <c r="F1667" s="12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</row>
    <row r="1668">
      <c r="A1668" s="16"/>
      <c r="B1668" s="12"/>
      <c r="C1668" s="12"/>
      <c r="D1668" s="12"/>
      <c r="E1668" s="12"/>
      <c r="F1668" s="12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</row>
    <row r="1669">
      <c r="A1669" s="16"/>
      <c r="B1669" s="12"/>
      <c r="C1669" s="12"/>
      <c r="D1669" s="12"/>
      <c r="E1669" s="12"/>
      <c r="F1669" s="12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</row>
    <row r="1670">
      <c r="A1670" s="16"/>
      <c r="B1670" s="12"/>
      <c r="C1670" s="12"/>
      <c r="D1670" s="12"/>
      <c r="E1670" s="12"/>
      <c r="F1670" s="12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</row>
    <row r="1671">
      <c r="A1671" s="16"/>
      <c r="B1671" s="12"/>
      <c r="C1671" s="12"/>
      <c r="D1671" s="12"/>
      <c r="E1671" s="12"/>
      <c r="F1671" s="12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</row>
    <row r="1672">
      <c r="A1672" s="16"/>
      <c r="B1672" s="12"/>
      <c r="C1672" s="12"/>
      <c r="D1672" s="12"/>
      <c r="E1672" s="12"/>
      <c r="F1672" s="12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</row>
    <row r="1673">
      <c r="A1673" s="16"/>
      <c r="B1673" s="12"/>
      <c r="C1673" s="12"/>
      <c r="D1673" s="12"/>
      <c r="E1673" s="12"/>
      <c r="F1673" s="12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</row>
    <row r="1674">
      <c r="A1674" s="16"/>
      <c r="B1674" s="12"/>
      <c r="C1674" s="12"/>
      <c r="D1674" s="12"/>
      <c r="E1674" s="12"/>
      <c r="F1674" s="12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</row>
    <row r="1675">
      <c r="A1675" s="16"/>
      <c r="B1675" s="12"/>
      <c r="C1675" s="12"/>
      <c r="D1675" s="12"/>
      <c r="E1675" s="12"/>
      <c r="F1675" s="12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</row>
    <row r="1676">
      <c r="A1676" s="16"/>
      <c r="B1676" s="12"/>
      <c r="C1676" s="12"/>
      <c r="D1676" s="12"/>
      <c r="E1676" s="12"/>
      <c r="F1676" s="12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</row>
    <row r="1677">
      <c r="A1677" s="16"/>
      <c r="B1677" s="12"/>
      <c r="C1677" s="12"/>
      <c r="D1677" s="12"/>
      <c r="E1677" s="12"/>
      <c r="F1677" s="12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</row>
    <row r="1678">
      <c r="A1678" s="16"/>
      <c r="B1678" s="12"/>
      <c r="C1678" s="12"/>
      <c r="D1678" s="12"/>
      <c r="E1678" s="12"/>
      <c r="F1678" s="12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</row>
    <row r="1679">
      <c r="A1679" s="16"/>
      <c r="B1679" s="12"/>
      <c r="C1679" s="12"/>
      <c r="D1679" s="12"/>
      <c r="E1679" s="12"/>
      <c r="F1679" s="12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</row>
    <row r="1680">
      <c r="A1680" s="16"/>
      <c r="B1680" s="12"/>
      <c r="C1680" s="12"/>
      <c r="D1680" s="12"/>
      <c r="E1680" s="12"/>
      <c r="F1680" s="12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</row>
    <row r="1681">
      <c r="A1681" s="16"/>
      <c r="B1681" s="12"/>
      <c r="C1681" s="12"/>
      <c r="D1681" s="12"/>
      <c r="E1681" s="12"/>
      <c r="F1681" s="12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</row>
    <row r="1682">
      <c r="A1682" s="16"/>
      <c r="B1682" s="12"/>
      <c r="C1682" s="12"/>
      <c r="D1682" s="12"/>
      <c r="E1682" s="12"/>
      <c r="F1682" s="12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</row>
    <row r="1683">
      <c r="A1683" s="16"/>
      <c r="B1683" s="12"/>
      <c r="C1683" s="12"/>
      <c r="D1683" s="12"/>
      <c r="E1683" s="12"/>
      <c r="F1683" s="12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</row>
    <row r="1684">
      <c r="A1684" s="16"/>
      <c r="B1684" s="12"/>
      <c r="C1684" s="12"/>
      <c r="D1684" s="12"/>
      <c r="E1684" s="12"/>
      <c r="F1684" s="12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</row>
    <row r="1685">
      <c r="A1685" s="16"/>
      <c r="B1685" s="12"/>
      <c r="C1685" s="12"/>
      <c r="D1685" s="12"/>
      <c r="E1685" s="12"/>
      <c r="F1685" s="12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</row>
    <row r="1686">
      <c r="A1686" s="16"/>
      <c r="B1686" s="12"/>
      <c r="C1686" s="12"/>
      <c r="D1686" s="12"/>
      <c r="E1686" s="12"/>
      <c r="F1686" s="12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</row>
    <row r="1687">
      <c r="A1687" s="16"/>
      <c r="B1687" s="12"/>
      <c r="C1687" s="12"/>
      <c r="D1687" s="12"/>
      <c r="E1687" s="12"/>
      <c r="F1687" s="12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</row>
    <row r="1688">
      <c r="A1688" s="16"/>
      <c r="B1688" s="12"/>
      <c r="C1688" s="12"/>
      <c r="D1688" s="12"/>
      <c r="E1688" s="12"/>
      <c r="F1688" s="12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</row>
    <row r="1689">
      <c r="A1689" s="16"/>
      <c r="B1689" s="12"/>
      <c r="C1689" s="12"/>
      <c r="D1689" s="12"/>
      <c r="E1689" s="12"/>
      <c r="F1689" s="12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</row>
    <row r="1690">
      <c r="A1690" s="16"/>
      <c r="B1690" s="12"/>
      <c r="C1690" s="12"/>
      <c r="D1690" s="12"/>
      <c r="E1690" s="12"/>
      <c r="F1690" s="12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</row>
    <row r="1691">
      <c r="A1691" s="16"/>
      <c r="B1691" s="12"/>
      <c r="C1691" s="12"/>
      <c r="D1691" s="12"/>
      <c r="E1691" s="12"/>
      <c r="F1691" s="12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</row>
    <row r="1692">
      <c r="A1692" s="16"/>
      <c r="B1692" s="12"/>
      <c r="C1692" s="12"/>
      <c r="D1692" s="12"/>
      <c r="E1692" s="12"/>
      <c r="F1692" s="12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</row>
    <row r="1693">
      <c r="A1693" s="16"/>
      <c r="B1693" s="12"/>
      <c r="C1693" s="12"/>
      <c r="D1693" s="12"/>
      <c r="E1693" s="12"/>
      <c r="F1693" s="12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</row>
    <row r="1694">
      <c r="A1694" s="16"/>
      <c r="B1694" s="12"/>
      <c r="C1694" s="12"/>
      <c r="D1694" s="12"/>
      <c r="E1694" s="12"/>
      <c r="F1694" s="12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</row>
    <row r="1695">
      <c r="A1695" s="16"/>
      <c r="B1695" s="12"/>
      <c r="C1695" s="12"/>
      <c r="D1695" s="12"/>
      <c r="E1695" s="12"/>
      <c r="F1695" s="12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</row>
    <row r="1696">
      <c r="A1696" s="16"/>
      <c r="B1696" s="12"/>
      <c r="C1696" s="12"/>
      <c r="D1696" s="12"/>
      <c r="E1696" s="12"/>
      <c r="F1696" s="12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</row>
    <row r="1697">
      <c r="A1697" s="16"/>
      <c r="B1697" s="12"/>
      <c r="C1697" s="12"/>
      <c r="D1697" s="12"/>
      <c r="E1697" s="12"/>
      <c r="F1697" s="12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</row>
    <row r="1698">
      <c r="A1698" s="16"/>
      <c r="B1698" s="12"/>
      <c r="C1698" s="12"/>
      <c r="D1698" s="12"/>
      <c r="E1698" s="12"/>
      <c r="F1698" s="12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</row>
    <row r="1699">
      <c r="A1699" s="16"/>
      <c r="B1699" s="12"/>
      <c r="C1699" s="12"/>
      <c r="D1699" s="12"/>
      <c r="E1699" s="12"/>
      <c r="F1699" s="12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</row>
    <row r="1700">
      <c r="A1700" s="16"/>
      <c r="B1700" s="12"/>
      <c r="C1700" s="12"/>
      <c r="D1700" s="12"/>
      <c r="E1700" s="12"/>
      <c r="F1700" s="12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</row>
    <row r="1701">
      <c r="A1701" s="16"/>
      <c r="B1701" s="12"/>
      <c r="C1701" s="12"/>
      <c r="D1701" s="12"/>
      <c r="E1701" s="12"/>
      <c r="F1701" s="12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</row>
    <row r="1702">
      <c r="A1702" s="16"/>
      <c r="B1702" s="12"/>
      <c r="C1702" s="12"/>
      <c r="D1702" s="12"/>
      <c r="E1702" s="12"/>
      <c r="F1702" s="12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</row>
    <row r="1703">
      <c r="A1703" s="16"/>
      <c r="B1703" s="12"/>
      <c r="C1703" s="12"/>
      <c r="D1703" s="12"/>
      <c r="E1703" s="12"/>
      <c r="F1703" s="12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</row>
    <row r="1704">
      <c r="A1704" s="16"/>
      <c r="B1704" s="12"/>
      <c r="C1704" s="12"/>
      <c r="D1704" s="12"/>
      <c r="E1704" s="12"/>
      <c r="F1704" s="12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</row>
    <row r="1705">
      <c r="A1705" s="16"/>
      <c r="B1705" s="12"/>
      <c r="C1705" s="12"/>
      <c r="D1705" s="12"/>
      <c r="E1705" s="12"/>
      <c r="F1705" s="12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</row>
    <row r="1706">
      <c r="A1706" s="16"/>
      <c r="B1706" s="12"/>
      <c r="C1706" s="12"/>
      <c r="D1706" s="12"/>
      <c r="E1706" s="12"/>
      <c r="F1706" s="12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</row>
    <row r="1707">
      <c r="A1707" s="16"/>
      <c r="B1707" s="12"/>
      <c r="C1707" s="12"/>
      <c r="D1707" s="12"/>
      <c r="E1707" s="12"/>
      <c r="F1707" s="12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</row>
    <row r="1708">
      <c r="A1708" s="16"/>
      <c r="B1708" s="12"/>
      <c r="C1708" s="12"/>
      <c r="D1708" s="12"/>
      <c r="E1708" s="12"/>
      <c r="F1708" s="12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</row>
    <row r="1709">
      <c r="A1709" s="16"/>
      <c r="B1709" s="12"/>
      <c r="C1709" s="12"/>
      <c r="D1709" s="12"/>
      <c r="E1709" s="12"/>
      <c r="F1709" s="12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</row>
    <row r="1710">
      <c r="A1710" s="16"/>
      <c r="B1710" s="12"/>
      <c r="C1710" s="12"/>
      <c r="D1710" s="12"/>
      <c r="E1710" s="12"/>
      <c r="F1710" s="12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</row>
    <row r="1711">
      <c r="A1711" s="16"/>
      <c r="B1711" s="12"/>
      <c r="C1711" s="12"/>
      <c r="D1711" s="12"/>
      <c r="E1711" s="12"/>
      <c r="F1711" s="12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</row>
    <row r="1712">
      <c r="A1712" s="16"/>
      <c r="B1712" s="12"/>
      <c r="C1712" s="12"/>
      <c r="D1712" s="12"/>
      <c r="E1712" s="12"/>
      <c r="F1712" s="12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</row>
    <row r="1713">
      <c r="A1713" s="16"/>
      <c r="B1713" s="12"/>
      <c r="C1713" s="12"/>
      <c r="D1713" s="12"/>
      <c r="E1713" s="12"/>
      <c r="F1713" s="12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</row>
    <row r="1714">
      <c r="A1714" s="16"/>
      <c r="B1714" s="12"/>
      <c r="C1714" s="12"/>
      <c r="D1714" s="12"/>
      <c r="E1714" s="12"/>
      <c r="F1714" s="12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</row>
    <row r="1715">
      <c r="A1715" s="16"/>
      <c r="B1715" s="12"/>
      <c r="C1715" s="12"/>
      <c r="D1715" s="12"/>
      <c r="E1715" s="12"/>
      <c r="F1715" s="12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</row>
    <row r="1716">
      <c r="A1716" s="16"/>
      <c r="B1716" s="12"/>
      <c r="C1716" s="12"/>
      <c r="D1716" s="12"/>
      <c r="E1716" s="12"/>
      <c r="F1716" s="12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</row>
    <row r="1717">
      <c r="A1717" s="16"/>
      <c r="B1717" s="12"/>
      <c r="C1717" s="12"/>
      <c r="D1717" s="12"/>
      <c r="E1717" s="12"/>
      <c r="F1717" s="12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</row>
    <row r="1718">
      <c r="A1718" s="16"/>
      <c r="B1718" s="12"/>
      <c r="C1718" s="12"/>
      <c r="D1718" s="12"/>
      <c r="E1718" s="12"/>
      <c r="F1718" s="12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</row>
    <row r="1719">
      <c r="A1719" s="16"/>
      <c r="B1719" s="12"/>
      <c r="C1719" s="12"/>
      <c r="D1719" s="12"/>
      <c r="E1719" s="12"/>
      <c r="F1719" s="12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</row>
    <row r="1720">
      <c r="A1720" s="16"/>
      <c r="B1720" s="12"/>
      <c r="C1720" s="12"/>
      <c r="D1720" s="12"/>
      <c r="E1720" s="12"/>
      <c r="F1720" s="12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</row>
    <row r="1721">
      <c r="A1721" s="16"/>
      <c r="B1721" s="12"/>
      <c r="C1721" s="12"/>
      <c r="D1721" s="12"/>
      <c r="E1721" s="12"/>
      <c r="F1721" s="12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</row>
    <row r="1722">
      <c r="A1722" s="16"/>
      <c r="B1722" s="12"/>
      <c r="C1722" s="12"/>
      <c r="D1722" s="12"/>
      <c r="E1722" s="12"/>
      <c r="F1722" s="12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</row>
    <row r="1723">
      <c r="A1723" s="16"/>
      <c r="B1723" s="12"/>
      <c r="C1723" s="12"/>
      <c r="D1723" s="12"/>
      <c r="E1723" s="12"/>
      <c r="F1723" s="12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</row>
    <row r="1724">
      <c r="A1724" s="16"/>
      <c r="B1724" s="12"/>
      <c r="C1724" s="12"/>
      <c r="D1724" s="12"/>
      <c r="E1724" s="12"/>
      <c r="F1724" s="12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</row>
    <row r="1725">
      <c r="A1725" s="16"/>
      <c r="B1725" s="12"/>
      <c r="C1725" s="12"/>
      <c r="D1725" s="12"/>
      <c r="E1725" s="12"/>
      <c r="F1725" s="12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</row>
    <row r="1726">
      <c r="A1726" s="16"/>
      <c r="B1726" s="12"/>
      <c r="C1726" s="12"/>
      <c r="D1726" s="12"/>
      <c r="E1726" s="12"/>
      <c r="F1726" s="12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</row>
    <row r="1727">
      <c r="A1727" s="16"/>
      <c r="B1727" s="12"/>
      <c r="C1727" s="12"/>
      <c r="D1727" s="12"/>
      <c r="E1727" s="12"/>
      <c r="F1727" s="12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</row>
    <row r="1728">
      <c r="A1728" s="16"/>
      <c r="B1728" s="12"/>
      <c r="C1728" s="12"/>
      <c r="D1728" s="12"/>
      <c r="E1728" s="12"/>
      <c r="F1728" s="12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</row>
    <row r="1729">
      <c r="A1729" s="16"/>
      <c r="B1729" s="12"/>
      <c r="C1729" s="12"/>
      <c r="D1729" s="12"/>
      <c r="E1729" s="12"/>
      <c r="F1729" s="12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</row>
    <row r="1730">
      <c r="A1730" s="16"/>
      <c r="B1730" s="12"/>
      <c r="C1730" s="12"/>
      <c r="D1730" s="12"/>
      <c r="E1730" s="12"/>
      <c r="F1730" s="12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</row>
    <row r="1731">
      <c r="A1731" s="16"/>
      <c r="B1731" s="12"/>
      <c r="C1731" s="12"/>
      <c r="D1731" s="12"/>
      <c r="E1731" s="12"/>
      <c r="F1731" s="12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</row>
    <row r="1732">
      <c r="A1732" s="16"/>
      <c r="B1732" s="12"/>
      <c r="C1732" s="12"/>
      <c r="D1732" s="12"/>
      <c r="E1732" s="12"/>
      <c r="F1732" s="12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</row>
    <row r="1733">
      <c r="A1733" s="16"/>
      <c r="B1733" s="12"/>
      <c r="C1733" s="12"/>
      <c r="D1733" s="12"/>
      <c r="E1733" s="12"/>
      <c r="F1733" s="12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</row>
    <row r="1734">
      <c r="A1734" s="16"/>
      <c r="B1734" s="12"/>
      <c r="C1734" s="12"/>
      <c r="D1734" s="12"/>
      <c r="E1734" s="12"/>
      <c r="F1734" s="12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</row>
    <row r="1735">
      <c r="A1735" s="16"/>
      <c r="B1735" s="12"/>
      <c r="C1735" s="12"/>
      <c r="D1735" s="12"/>
      <c r="E1735" s="12"/>
      <c r="F1735" s="12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</row>
    <row r="1736">
      <c r="A1736" s="16"/>
      <c r="B1736" s="12"/>
      <c r="C1736" s="12"/>
      <c r="D1736" s="12"/>
      <c r="E1736" s="12"/>
      <c r="F1736" s="12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</row>
    <row r="1737">
      <c r="A1737" s="16"/>
      <c r="B1737" s="12"/>
      <c r="C1737" s="12"/>
      <c r="D1737" s="12"/>
      <c r="E1737" s="12"/>
      <c r="F1737" s="12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</row>
    <row r="1738">
      <c r="A1738" s="16"/>
      <c r="B1738" s="12"/>
      <c r="C1738" s="12"/>
      <c r="D1738" s="12"/>
      <c r="E1738" s="12"/>
      <c r="F1738" s="12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</row>
    <row r="1739">
      <c r="A1739" s="16"/>
      <c r="B1739" s="12"/>
      <c r="C1739" s="12"/>
      <c r="D1739" s="12"/>
      <c r="E1739" s="12"/>
      <c r="F1739" s="12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</row>
    <row r="1740">
      <c r="A1740" s="16"/>
      <c r="B1740" s="12"/>
      <c r="C1740" s="12"/>
      <c r="D1740" s="12"/>
      <c r="E1740" s="12"/>
      <c r="F1740" s="12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</row>
    <row r="1741">
      <c r="A1741" s="16"/>
      <c r="B1741" s="12"/>
      <c r="C1741" s="12"/>
      <c r="D1741" s="12"/>
      <c r="E1741" s="12"/>
      <c r="F1741" s="12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</row>
    <row r="1742">
      <c r="A1742" s="16"/>
      <c r="B1742" s="12"/>
      <c r="C1742" s="12"/>
      <c r="D1742" s="12"/>
      <c r="E1742" s="12"/>
      <c r="F1742" s="12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</row>
    <row r="1743">
      <c r="A1743" s="16"/>
      <c r="B1743" s="12"/>
      <c r="C1743" s="12"/>
      <c r="D1743" s="12"/>
      <c r="E1743" s="12"/>
      <c r="F1743" s="12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</row>
    <row r="1744">
      <c r="A1744" s="16"/>
      <c r="B1744" s="12"/>
      <c r="C1744" s="12"/>
      <c r="D1744" s="12"/>
      <c r="E1744" s="12"/>
      <c r="F1744" s="12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</row>
    <row r="1745">
      <c r="A1745" s="16"/>
      <c r="B1745" s="12"/>
      <c r="C1745" s="12"/>
      <c r="D1745" s="12"/>
      <c r="E1745" s="12"/>
      <c r="F1745" s="12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</row>
    <row r="1746">
      <c r="A1746" s="16"/>
      <c r="B1746" s="12"/>
      <c r="C1746" s="12"/>
      <c r="D1746" s="12"/>
      <c r="E1746" s="12"/>
      <c r="F1746" s="12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</row>
    <row r="1747">
      <c r="A1747" s="16"/>
      <c r="B1747" s="12"/>
      <c r="C1747" s="12"/>
      <c r="D1747" s="12"/>
      <c r="E1747" s="12"/>
      <c r="F1747" s="12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</row>
    <row r="1748">
      <c r="A1748" s="16"/>
      <c r="B1748" s="12"/>
      <c r="C1748" s="12"/>
      <c r="D1748" s="12"/>
      <c r="E1748" s="12"/>
      <c r="F1748" s="12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</row>
    <row r="1749">
      <c r="A1749" s="16"/>
      <c r="B1749" s="12"/>
      <c r="C1749" s="12"/>
      <c r="D1749" s="12"/>
      <c r="E1749" s="12"/>
      <c r="F1749" s="12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</row>
    <row r="1750">
      <c r="A1750" s="16"/>
      <c r="B1750" s="12"/>
      <c r="C1750" s="12"/>
      <c r="D1750" s="12"/>
      <c r="E1750" s="12"/>
      <c r="F1750" s="12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</row>
    <row r="1751">
      <c r="A1751" s="16"/>
      <c r="B1751" s="12"/>
      <c r="C1751" s="12"/>
      <c r="D1751" s="12"/>
      <c r="E1751" s="12"/>
      <c r="F1751" s="12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</row>
    <row r="1752">
      <c r="A1752" s="16"/>
      <c r="B1752" s="12"/>
      <c r="C1752" s="12"/>
      <c r="D1752" s="12"/>
      <c r="E1752" s="12"/>
      <c r="F1752" s="12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</row>
    <row r="1753">
      <c r="A1753" s="16"/>
      <c r="B1753" s="12"/>
      <c r="C1753" s="12"/>
      <c r="D1753" s="12"/>
      <c r="E1753" s="12"/>
      <c r="F1753" s="12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</row>
    <row r="1754">
      <c r="A1754" s="16"/>
      <c r="B1754" s="12"/>
      <c r="C1754" s="12"/>
      <c r="D1754" s="12"/>
      <c r="E1754" s="12"/>
      <c r="F1754" s="12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</row>
    <row r="1755">
      <c r="A1755" s="16"/>
      <c r="B1755" s="12"/>
      <c r="C1755" s="12"/>
      <c r="D1755" s="12"/>
      <c r="E1755" s="12"/>
      <c r="F1755" s="12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</row>
    <row r="1756">
      <c r="A1756" s="16"/>
      <c r="B1756" s="12"/>
      <c r="C1756" s="12"/>
      <c r="D1756" s="12"/>
      <c r="E1756" s="12"/>
      <c r="F1756" s="12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</row>
    <row r="1757">
      <c r="A1757" s="16"/>
      <c r="B1757" s="12"/>
      <c r="C1757" s="12"/>
      <c r="D1757" s="12"/>
      <c r="E1757" s="12"/>
      <c r="F1757" s="12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</row>
    <row r="1758">
      <c r="A1758" s="16"/>
      <c r="B1758" s="12"/>
      <c r="C1758" s="12"/>
      <c r="D1758" s="12"/>
      <c r="E1758" s="12"/>
      <c r="F1758" s="12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</row>
    <row r="1759">
      <c r="A1759" s="16"/>
      <c r="B1759" s="12"/>
      <c r="C1759" s="12"/>
      <c r="D1759" s="12"/>
      <c r="E1759" s="12"/>
      <c r="F1759" s="12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</row>
    <row r="1760">
      <c r="A1760" s="16"/>
      <c r="B1760" s="12"/>
      <c r="C1760" s="12"/>
      <c r="D1760" s="12"/>
      <c r="E1760" s="12"/>
      <c r="F1760" s="12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</row>
    <row r="1761">
      <c r="A1761" s="16"/>
      <c r="B1761" s="12"/>
      <c r="C1761" s="12"/>
      <c r="D1761" s="12"/>
      <c r="E1761" s="12"/>
      <c r="F1761" s="12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</row>
    <row r="1762">
      <c r="A1762" s="16"/>
      <c r="B1762" s="12"/>
      <c r="C1762" s="12"/>
      <c r="D1762" s="12"/>
      <c r="E1762" s="12"/>
      <c r="F1762" s="12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</row>
    <row r="1763">
      <c r="A1763" s="16"/>
      <c r="B1763" s="12"/>
      <c r="C1763" s="12"/>
      <c r="D1763" s="12"/>
      <c r="E1763" s="12"/>
      <c r="F1763" s="12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</row>
    <row r="1764">
      <c r="A1764" s="16"/>
      <c r="B1764" s="12"/>
      <c r="C1764" s="12"/>
      <c r="D1764" s="12"/>
      <c r="E1764" s="12"/>
      <c r="F1764" s="12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</row>
    <row r="1765">
      <c r="A1765" s="16"/>
      <c r="B1765" s="12"/>
      <c r="C1765" s="12"/>
      <c r="D1765" s="12"/>
      <c r="E1765" s="12"/>
      <c r="F1765" s="12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</row>
    <row r="1766">
      <c r="A1766" s="16"/>
      <c r="B1766" s="12"/>
      <c r="C1766" s="12"/>
      <c r="D1766" s="12"/>
      <c r="E1766" s="12"/>
      <c r="F1766" s="12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</row>
    <row r="1767">
      <c r="A1767" s="16"/>
      <c r="B1767" s="12"/>
      <c r="C1767" s="12"/>
      <c r="D1767" s="12"/>
      <c r="E1767" s="12"/>
      <c r="F1767" s="12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</row>
    <row r="1768">
      <c r="A1768" s="16"/>
      <c r="B1768" s="12"/>
      <c r="C1768" s="12"/>
      <c r="D1768" s="12"/>
      <c r="E1768" s="12"/>
      <c r="F1768" s="12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</row>
    <row r="1769">
      <c r="A1769" s="16"/>
      <c r="B1769" s="12"/>
      <c r="C1769" s="12"/>
      <c r="D1769" s="12"/>
      <c r="E1769" s="12"/>
      <c r="F1769" s="12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</row>
    <row r="1770">
      <c r="A1770" s="16"/>
      <c r="B1770" s="12"/>
      <c r="C1770" s="12"/>
      <c r="D1770" s="12"/>
      <c r="E1770" s="12"/>
      <c r="F1770" s="12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</row>
    <row r="1771">
      <c r="A1771" s="16"/>
      <c r="B1771" s="12"/>
      <c r="C1771" s="12"/>
      <c r="D1771" s="12"/>
      <c r="E1771" s="12"/>
      <c r="F1771" s="12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</row>
    <row r="1772">
      <c r="A1772" s="16"/>
      <c r="B1772" s="12"/>
      <c r="C1772" s="12"/>
      <c r="D1772" s="12"/>
      <c r="E1772" s="12"/>
      <c r="F1772" s="12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</row>
    <row r="1773">
      <c r="A1773" s="16"/>
      <c r="B1773" s="12"/>
      <c r="C1773" s="12"/>
      <c r="D1773" s="12"/>
      <c r="E1773" s="12"/>
      <c r="F1773" s="12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</row>
    <row r="1774">
      <c r="A1774" s="16"/>
      <c r="B1774" s="12"/>
      <c r="C1774" s="12"/>
      <c r="D1774" s="12"/>
      <c r="E1774" s="12"/>
      <c r="F1774" s="12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</row>
    <row r="1775">
      <c r="A1775" s="16"/>
      <c r="B1775" s="12"/>
      <c r="C1775" s="12"/>
      <c r="D1775" s="12"/>
      <c r="E1775" s="12"/>
      <c r="F1775" s="12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</row>
    <row r="1776">
      <c r="A1776" s="16"/>
      <c r="B1776" s="12"/>
      <c r="C1776" s="12"/>
      <c r="D1776" s="12"/>
      <c r="E1776" s="12"/>
      <c r="F1776" s="12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</row>
    <row r="1777">
      <c r="A1777" s="16"/>
      <c r="B1777" s="12"/>
      <c r="C1777" s="12"/>
      <c r="D1777" s="12"/>
      <c r="E1777" s="12"/>
      <c r="F1777" s="12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</row>
    <row r="1778">
      <c r="A1778" s="16"/>
      <c r="B1778" s="12"/>
      <c r="C1778" s="12"/>
      <c r="D1778" s="12"/>
      <c r="E1778" s="12"/>
      <c r="F1778" s="12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</row>
    <row r="1779">
      <c r="A1779" s="16"/>
      <c r="B1779" s="12"/>
      <c r="C1779" s="12"/>
      <c r="D1779" s="12"/>
      <c r="E1779" s="12"/>
      <c r="F1779" s="12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</row>
    <row r="1780">
      <c r="A1780" s="16"/>
      <c r="B1780" s="12"/>
      <c r="C1780" s="12"/>
      <c r="D1780" s="12"/>
      <c r="E1780" s="12"/>
      <c r="F1780" s="12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</row>
    <row r="1781">
      <c r="A1781" s="16"/>
      <c r="B1781" s="12"/>
      <c r="C1781" s="12"/>
      <c r="D1781" s="12"/>
      <c r="E1781" s="12"/>
      <c r="F1781" s="12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</row>
    <row r="1782">
      <c r="A1782" s="16"/>
      <c r="B1782" s="12"/>
      <c r="C1782" s="12"/>
      <c r="D1782" s="12"/>
      <c r="E1782" s="12"/>
      <c r="F1782" s="12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</row>
    <row r="1783">
      <c r="A1783" s="16"/>
      <c r="B1783" s="12"/>
      <c r="C1783" s="12"/>
      <c r="D1783" s="12"/>
      <c r="E1783" s="12"/>
      <c r="F1783" s="12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</row>
    <row r="1784">
      <c r="A1784" s="16"/>
      <c r="B1784" s="12"/>
      <c r="C1784" s="12"/>
      <c r="D1784" s="12"/>
      <c r="E1784" s="12"/>
      <c r="F1784" s="12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</row>
    <row r="1785">
      <c r="A1785" s="16"/>
      <c r="B1785" s="12"/>
      <c r="C1785" s="12"/>
      <c r="D1785" s="12"/>
      <c r="E1785" s="12"/>
      <c r="F1785" s="12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</row>
    <row r="1786">
      <c r="A1786" s="16"/>
      <c r="B1786" s="12"/>
      <c r="C1786" s="12"/>
      <c r="D1786" s="12"/>
      <c r="E1786" s="12"/>
      <c r="F1786" s="12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</row>
    <row r="1787">
      <c r="A1787" s="16"/>
      <c r="B1787" s="12"/>
      <c r="C1787" s="12"/>
      <c r="D1787" s="12"/>
      <c r="E1787" s="12"/>
      <c r="F1787" s="12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</row>
    <row r="1788">
      <c r="A1788" s="16"/>
      <c r="B1788" s="12"/>
      <c r="C1788" s="12"/>
      <c r="D1788" s="12"/>
      <c r="E1788" s="12"/>
      <c r="F1788" s="12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</row>
    <row r="1789">
      <c r="A1789" s="16"/>
      <c r="B1789" s="12"/>
      <c r="C1789" s="12"/>
      <c r="D1789" s="12"/>
      <c r="E1789" s="12"/>
      <c r="F1789" s="12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</row>
    <row r="1790">
      <c r="A1790" s="16"/>
      <c r="B1790" s="12"/>
      <c r="C1790" s="12"/>
      <c r="D1790" s="12"/>
      <c r="E1790" s="12"/>
      <c r="F1790" s="12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</row>
    <row r="1791">
      <c r="A1791" s="16"/>
      <c r="B1791" s="12"/>
      <c r="C1791" s="12"/>
      <c r="D1791" s="12"/>
      <c r="E1791" s="12"/>
      <c r="F1791" s="12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</row>
    <row r="1792">
      <c r="A1792" s="16"/>
      <c r="B1792" s="12"/>
      <c r="C1792" s="12"/>
      <c r="D1792" s="12"/>
      <c r="E1792" s="12"/>
      <c r="F1792" s="12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</row>
    <row r="1793">
      <c r="A1793" s="16"/>
      <c r="B1793" s="12"/>
      <c r="C1793" s="12"/>
      <c r="D1793" s="12"/>
      <c r="E1793" s="12"/>
      <c r="F1793" s="12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</row>
    <row r="1794">
      <c r="A1794" s="16"/>
      <c r="B1794" s="12"/>
      <c r="C1794" s="12"/>
      <c r="D1794" s="12"/>
      <c r="E1794" s="12"/>
      <c r="F1794" s="12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</row>
    <row r="1795">
      <c r="A1795" s="16"/>
      <c r="B1795" s="12"/>
      <c r="C1795" s="12"/>
      <c r="D1795" s="12"/>
      <c r="E1795" s="12"/>
      <c r="F1795" s="12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</row>
    <row r="1796">
      <c r="A1796" s="16"/>
      <c r="B1796" s="12"/>
      <c r="C1796" s="12"/>
      <c r="D1796" s="12"/>
      <c r="E1796" s="12"/>
      <c r="F1796" s="12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</row>
    <row r="1797">
      <c r="A1797" s="16"/>
      <c r="B1797" s="12"/>
      <c r="C1797" s="12"/>
      <c r="D1797" s="12"/>
      <c r="E1797" s="12"/>
      <c r="F1797" s="12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</row>
    <row r="1798">
      <c r="A1798" s="16"/>
      <c r="B1798" s="12"/>
      <c r="C1798" s="12"/>
      <c r="D1798" s="12"/>
      <c r="E1798" s="12"/>
      <c r="F1798" s="12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</row>
    <row r="1799">
      <c r="A1799" s="16"/>
      <c r="B1799" s="12"/>
      <c r="C1799" s="12"/>
      <c r="D1799" s="12"/>
      <c r="E1799" s="12"/>
      <c r="F1799" s="12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</row>
    <row r="1800">
      <c r="A1800" s="16"/>
      <c r="B1800" s="12"/>
      <c r="C1800" s="12"/>
      <c r="D1800" s="12"/>
      <c r="E1800" s="12"/>
      <c r="F1800" s="12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</row>
    <row r="1801">
      <c r="A1801" s="16"/>
      <c r="B1801" s="12"/>
      <c r="C1801" s="12"/>
      <c r="D1801" s="12"/>
      <c r="E1801" s="12"/>
      <c r="F1801" s="12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</row>
    <row r="1802">
      <c r="A1802" s="16"/>
      <c r="B1802" s="12"/>
      <c r="C1802" s="12"/>
      <c r="D1802" s="12"/>
      <c r="E1802" s="12"/>
      <c r="F1802" s="12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</row>
    <row r="1803">
      <c r="A1803" s="16"/>
      <c r="B1803" s="12"/>
      <c r="C1803" s="12"/>
      <c r="D1803" s="12"/>
      <c r="E1803" s="12"/>
      <c r="F1803" s="12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</row>
    <row r="1804">
      <c r="A1804" s="16"/>
      <c r="B1804" s="12"/>
      <c r="C1804" s="12"/>
      <c r="D1804" s="12"/>
      <c r="E1804" s="12"/>
      <c r="F1804" s="12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</row>
    <row r="1805">
      <c r="A1805" s="16"/>
      <c r="B1805" s="12"/>
      <c r="C1805" s="12"/>
      <c r="D1805" s="12"/>
      <c r="E1805" s="12"/>
      <c r="F1805" s="12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</row>
    <row r="1806">
      <c r="A1806" s="16"/>
      <c r="B1806" s="12"/>
      <c r="C1806" s="12"/>
      <c r="D1806" s="12"/>
      <c r="E1806" s="12"/>
      <c r="F1806" s="12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</row>
    <row r="1807">
      <c r="A1807" s="16"/>
      <c r="B1807" s="12"/>
      <c r="C1807" s="12"/>
      <c r="D1807" s="12"/>
      <c r="E1807" s="12"/>
      <c r="F1807" s="12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</row>
    <row r="1808">
      <c r="A1808" s="16"/>
      <c r="B1808" s="12"/>
      <c r="C1808" s="12"/>
      <c r="D1808" s="12"/>
      <c r="E1808" s="12"/>
      <c r="F1808" s="12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</row>
    <row r="1809">
      <c r="A1809" s="16"/>
      <c r="B1809" s="12"/>
      <c r="C1809" s="12"/>
      <c r="D1809" s="12"/>
      <c r="E1809" s="12"/>
      <c r="F1809" s="12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</row>
    <row r="1810">
      <c r="A1810" s="16"/>
      <c r="B1810" s="12"/>
      <c r="C1810" s="12"/>
      <c r="D1810" s="12"/>
      <c r="E1810" s="12"/>
      <c r="F1810" s="12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</row>
    <row r="1811">
      <c r="A1811" s="16"/>
      <c r="B1811" s="12"/>
      <c r="C1811" s="12"/>
      <c r="D1811" s="12"/>
      <c r="E1811" s="12"/>
      <c r="F1811" s="12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</row>
    <row r="1812">
      <c r="A1812" s="16"/>
      <c r="B1812" s="12"/>
      <c r="C1812" s="12"/>
      <c r="D1812" s="12"/>
      <c r="E1812" s="12"/>
      <c r="F1812" s="12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</row>
    <row r="1813">
      <c r="A1813" s="16"/>
      <c r="B1813" s="12"/>
      <c r="C1813" s="12"/>
      <c r="D1813" s="12"/>
      <c r="E1813" s="12"/>
      <c r="F1813" s="12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</row>
    <row r="1814">
      <c r="A1814" s="16"/>
      <c r="B1814" s="12"/>
      <c r="C1814" s="12"/>
      <c r="D1814" s="12"/>
      <c r="E1814" s="12"/>
      <c r="F1814" s="12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</row>
    <row r="1815">
      <c r="A1815" s="16"/>
      <c r="B1815" s="12"/>
      <c r="C1815" s="12"/>
      <c r="D1815" s="12"/>
      <c r="E1815" s="12"/>
      <c r="F1815" s="12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</row>
    <row r="1816">
      <c r="A1816" s="16"/>
      <c r="B1816" s="12"/>
      <c r="C1816" s="12"/>
      <c r="D1816" s="12"/>
      <c r="E1816" s="12"/>
      <c r="F1816" s="12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</row>
    <row r="1817">
      <c r="A1817" s="16"/>
      <c r="B1817" s="12"/>
      <c r="C1817" s="12"/>
      <c r="D1817" s="12"/>
      <c r="E1817" s="12"/>
      <c r="F1817" s="12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</row>
    <row r="1818">
      <c r="A1818" s="16"/>
      <c r="B1818" s="12"/>
      <c r="C1818" s="12"/>
      <c r="D1818" s="12"/>
      <c r="E1818" s="12"/>
      <c r="F1818" s="12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</row>
    <row r="1819">
      <c r="A1819" s="16"/>
      <c r="B1819" s="12"/>
      <c r="C1819" s="12"/>
      <c r="D1819" s="12"/>
      <c r="E1819" s="12"/>
      <c r="F1819" s="12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</row>
    <row r="1820">
      <c r="A1820" s="16"/>
      <c r="B1820" s="12"/>
      <c r="C1820" s="12"/>
      <c r="D1820" s="12"/>
      <c r="E1820" s="12"/>
      <c r="F1820" s="12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</row>
    <row r="1821">
      <c r="A1821" s="16"/>
      <c r="B1821" s="12"/>
      <c r="C1821" s="12"/>
      <c r="D1821" s="12"/>
      <c r="E1821" s="12"/>
      <c r="F1821" s="12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</row>
    <row r="1822">
      <c r="A1822" s="16"/>
      <c r="B1822" s="12"/>
      <c r="C1822" s="12"/>
      <c r="D1822" s="12"/>
      <c r="E1822" s="12"/>
      <c r="F1822" s="12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</row>
    <row r="1823">
      <c r="A1823" s="16"/>
      <c r="B1823" s="12"/>
      <c r="C1823" s="12"/>
      <c r="D1823" s="12"/>
      <c r="E1823" s="12"/>
      <c r="F1823" s="12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</row>
    <row r="1824">
      <c r="A1824" s="16"/>
      <c r="B1824" s="12"/>
      <c r="C1824" s="12"/>
      <c r="D1824" s="12"/>
      <c r="E1824" s="12"/>
      <c r="F1824" s="12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</row>
    <row r="1825">
      <c r="A1825" s="16"/>
      <c r="B1825" s="12"/>
      <c r="C1825" s="12"/>
      <c r="D1825" s="12"/>
      <c r="E1825" s="12"/>
      <c r="F1825" s="12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</row>
    <row r="1826">
      <c r="A1826" s="16"/>
      <c r="B1826" s="12"/>
      <c r="C1826" s="12"/>
      <c r="D1826" s="12"/>
      <c r="E1826" s="12"/>
      <c r="F1826" s="12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</row>
    <row r="1827">
      <c r="A1827" s="16"/>
      <c r="B1827" s="12"/>
      <c r="C1827" s="12"/>
      <c r="D1827" s="12"/>
      <c r="E1827" s="12"/>
      <c r="F1827" s="12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</row>
    <row r="1828">
      <c r="A1828" s="16"/>
      <c r="B1828" s="12"/>
      <c r="C1828" s="12"/>
      <c r="D1828" s="12"/>
      <c r="E1828" s="12"/>
      <c r="F1828" s="12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</row>
    <row r="1829">
      <c r="A1829" s="16"/>
      <c r="B1829" s="12"/>
      <c r="C1829" s="12"/>
      <c r="D1829" s="12"/>
      <c r="E1829" s="12"/>
      <c r="F1829" s="12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</row>
    <row r="1830">
      <c r="A1830" s="16"/>
      <c r="B1830" s="12"/>
      <c r="C1830" s="12"/>
      <c r="D1830" s="12"/>
      <c r="E1830" s="12"/>
      <c r="F1830" s="12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</row>
    <row r="1831">
      <c r="A1831" s="16"/>
      <c r="B1831" s="12"/>
      <c r="C1831" s="12"/>
      <c r="D1831" s="12"/>
      <c r="E1831" s="12"/>
      <c r="F1831" s="12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</row>
    <row r="1832">
      <c r="A1832" s="16"/>
      <c r="B1832" s="12"/>
      <c r="C1832" s="12"/>
      <c r="D1832" s="12"/>
      <c r="E1832" s="12"/>
      <c r="F1832" s="12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</row>
    <row r="1833">
      <c r="A1833" s="16"/>
      <c r="B1833" s="12"/>
      <c r="C1833" s="12"/>
      <c r="D1833" s="12"/>
      <c r="E1833" s="12"/>
      <c r="F1833" s="12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</row>
    <row r="1834">
      <c r="A1834" s="16"/>
      <c r="B1834" s="12"/>
      <c r="C1834" s="12"/>
      <c r="D1834" s="12"/>
      <c r="E1834" s="12"/>
      <c r="F1834" s="12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</row>
    <row r="1835">
      <c r="A1835" s="16"/>
      <c r="B1835" s="12"/>
      <c r="C1835" s="12"/>
      <c r="D1835" s="12"/>
      <c r="E1835" s="12"/>
      <c r="F1835" s="12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</row>
    <row r="1836">
      <c r="A1836" s="16"/>
      <c r="B1836" s="12"/>
      <c r="C1836" s="12"/>
      <c r="D1836" s="12"/>
      <c r="E1836" s="12"/>
      <c r="F1836" s="12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</row>
    <row r="1837">
      <c r="A1837" s="16"/>
      <c r="B1837" s="12"/>
      <c r="C1837" s="12"/>
      <c r="D1837" s="12"/>
      <c r="E1837" s="12"/>
      <c r="F1837" s="12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</row>
    <row r="1838">
      <c r="A1838" s="16"/>
      <c r="B1838" s="12"/>
      <c r="C1838" s="12"/>
      <c r="D1838" s="12"/>
      <c r="E1838" s="12"/>
      <c r="F1838" s="12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</row>
    <row r="1839">
      <c r="A1839" s="16"/>
      <c r="B1839" s="12"/>
      <c r="C1839" s="12"/>
      <c r="D1839" s="12"/>
      <c r="E1839" s="12"/>
      <c r="F1839" s="12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</row>
    <row r="1840">
      <c r="A1840" s="16"/>
      <c r="B1840" s="12"/>
      <c r="C1840" s="12"/>
      <c r="D1840" s="12"/>
      <c r="E1840" s="12"/>
      <c r="F1840" s="12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</row>
    <row r="1841">
      <c r="A1841" s="16"/>
      <c r="B1841" s="12"/>
      <c r="C1841" s="12"/>
      <c r="D1841" s="12"/>
      <c r="E1841" s="12"/>
      <c r="F1841" s="12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</row>
    <row r="1842">
      <c r="A1842" s="16"/>
      <c r="B1842" s="12"/>
      <c r="C1842" s="12"/>
      <c r="D1842" s="12"/>
      <c r="E1842" s="12"/>
      <c r="F1842" s="12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</row>
    <row r="1843">
      <c r="A1843" s="16"/>
      <c r="B1843" s="12"/>
      <c r="C1843" s="12"/>
      <c r="D1843" s="12"/>
      <c r="E1843" s="12"/>
      <c r="F1843" s="12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</row>
    <row r="1844">
      <c r="A1844" s="16"/>
      <c r="B1844" s="12"/>
      <c r="C1844" s="12"/>
      <c r="D1844" s="12"/>
      <c r="E1844" s="12"/>
      <c r="F1844" s="12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</row>
    <row r="1845">
      <c r="A1845" s="16"/>
      <c r="B1845" s="12"/>
      <c r="C1845" s="12"/>
      <c r="D1845" s="12"/>
      <c r="E1845" s="12"/>
      <c r="F1845" s="12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</row>
    <row r="1846">
      <c r="A1846" s="16"/>
      <c r="B1846" s="12"/>
      <c r="C1846" s="12"/>
      <c r="D1846" s="12"/>
      <c r="E1846" s="12"/>
      <c r="F1846" s="12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</row>
    <row r="1847">
      <c r="A1847" s="16"/>
      <c r="B1847" s="12"/>
      <c r="C1847" s="12"/>
      <c r="D1847" s="12"/>
      <c r="E1847" s="12"/>
      <c r="F1847" s="12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</row>
    <row r="1848">
      <c r="A1848" s="16"/>
      <c r="B1848" s="12"/>
      <c r="C1848" s="12"/>
      <c r="D1848" s="12"/>
      <c r="E1848" s="12"/>
      <c r="F1848" s="12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</row>
    <row r="1849">
      <c r="A1849" s="16"/>
      <c r="B1849" s="12"/>
      <c r="C1849" s="12"/>
      <c r="D1849" s="12"/>
      <c r="E1849" s="12"/>
      <c r="F1849" s="12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</row>
    <row r="1850">
      <c r="A1850" s="16"/>
      <c r="B1850" s="12"/>
      <c r="C1850" s="12"/>
      <c r="D1850" s="12"/>
      <c r="E1850" s="12"/>
      <c r="F1850" s="12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</row>
    <row r="1851">
      <c r="A1851" s="16"/>
      <c r="B1851" s="12"/>
      <c r="C1851" s="12"/>
      <c r="D1851" s="12"/>
      <c r="E1851" s="12"/>
      <c r="F1851" s="12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</row>
    <row r="1852">
      <c r="A1852" s="16"/>
      <c r="B1852" s="12"/>
      <c r="C1852" s="12"/>
      <c r="D1852" s="12"/>
      <c r="E1852" s="12"/>
      <c r="F1852" s="12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</row>
    <row r="1853">
      <c r="A1853" s="16"/>
      <c r="B1853" s="12"/>
      <c r="C1853" s="12"/>
      <c r="D1853" s="12"/>
      <c r="E1853" s="12"/>
      <c r="F1853" s="12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</row>
    <row r="1854">
      <c r="A1854" s="16"/>
      <c r="B1854" s="12"/>
      <c r="C1854" s="12"/>
      <c r="D1854" s="12"/>
      <c r="E1854" s="12"/>
      <c r="F1854" s="12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</row>
    <row r="1855">
      <c r="A1855" s="16"/>
      <c r="B1855" s="12"/>
      <c r="C1855" s="12"/>
      <c r="D1855" s="12"/>
      <c r="E1855" s="12"/>
      <c r="F1855" s="12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</row>
    <row r="1856">
      <c r="A1856" s="16"/>
      <c r="B1856" s="12"/>
      <c r="C1856" s="12"/>
      <c r="D1856" s="12"/>
      <c r="E1856" s="12"/>
      <c r="F1856" s="12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</row>
    <row r="1857">
      <c r="A1857" s="16"/>
      <c r="B1857" s="12"/>
      <c r="C1857" s="12"/>
      <c r="D1857" s="12"/>
      <c r="E1857" s="12"/>
      <c r="F1857" s="12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</row>
    <row r="1858">
      <c r="A1858" s="16"/>
      <c r="B1858" s="12"/>
      <c r="C1858" s="12"/>
      <c r="D1858" s="12"/>
      <c r="E1858" s="12"/>
      <c r="F1858" s="12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</row>
    <row r="1859">
      <c r="A1859" s="16"/>
      <c r="B1859" s="12"/>
      <c r="C1859" s="12"/>
      <c r="D1859" s="12"/>
      <c r="E1859" s="12"/>
      <c r="F1859" s="12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</row>
    <row r="1860">
      <c r="A1860" s="16"/>
      <c r="B1860" s="12"/>
      <c r="C1860" s="12"/>
      <c r="D1860" s="12"/>
      <c r="E1860" s="12"/>
      <c r="F1860" s="12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</row>
    <row r="1861">
      <c r="A1861" s="16"/>
      <c r="B1861" s="12"/>
      <c r="C1861" s="12"/>
      <c r="D1861" s="12"/>
      <c r="E1861" s="12"/>
      <c r="F1861" s="12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</row>
    <row r="1862">
      <c r="A1862" s="16"/>
      <c r="B1862" s="12"/>
      <c r="C1862" s="12"/>
      <c r="D1862" s="12"/>
      <c r="E1862" s="12"/>
      <c r="F1862" s="12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</row>
    <row r="1863">
      <c r="A1863" s="16"/>
      <c r="B1863" s="12"/>
      <c r="C1863" s="12"/>
      <c r="D1863" s="12"/>
      <c r="E1863" s="12"/>
      <c r="F1863" s="12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</row>
    <row r="1864">
      <c r="A1864" s="16"/>
      <c r="B1864" s="12"/>
      <c r="C1864" s="12"/>
      <c r="D1864" s="12"/>
      <c r="E1864" s="12"/>
      <c r="F1864" s="12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</row>
    <row r="1865">
      <c r="A1865" s="16"/>
      <c r="B1865" s="12"/>
      <c r="C1865" s="12"/>
      <c r="D1865" s="12"/>
      <c r="E1865" s="12"/>
      <c r="F1865" s="12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</row>
    <row r="1866">
      <c r="A1866" s="16"/>
      <c r="B1866" s="12"/>
      <c r="C1866" s="12"/>
      <c r="D1866" s="12"/>
      <c r="E1866" s="12"/>
      <c r="F1866" s="12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</row>
    <row r="1867">
      <c r="A1867" s="16"/>
      <c r="B1867" s="12"/>
      <c r="C1867" s="12"/>
      <c r="D1867" s="12"/>
      <c r="E1867" s="12"/>
      <c r="F1867" s="12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</row>
    <row r="1868">
      <c r="A1868" s="16"/>
      <c r="B1868" s="12"/>
      <c r="C1868" s="12"/>
      <c r="D1868" s="12"/>
      <c r="E1868" s="12"/>
      <c r="F1868" s="12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</row>
    <row r="1869">
      <c r="A1869" s="16"/>
      <c r="B1869" s="12"/>
      <c r="C1869" s="12"/>
      <c r="D1869" s="12"/>
      <c r="E1869" s="12"/>
      <c r="F1869" s="12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</row>
    <row r="1870">
      <c r="A1870" s="16"/>
      <c r="B1870" s="12"/>
      <c r="C1870" s="12"/>
      <c r="D1870" s="12"/>
      <c r="E1870" s="12"/>
      <c r="F1870" s="12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</row>
    <row r="1871">
      <c r="A1871" s="16"/>
      <c r="B1871" s="12"/>
      <c r="C1871" s="12"/>
      <c r="D1871" s="12"/>
      <c r="E1871" s="12"/>
      <c r="F1871" s="12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</row>
    <row r="1872">
      <c r="A1872" s="16"/>
      <c r="B1872" s="12"/>
      <c r="C1872" s="12"/>
      <c r="D1872" s="12"/>
      <c r="E1872" s="12"/>
      <c r="F1872" s="12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</row>
    <row r="1873">
      <c r="A1873" s="16"/>
      <c r="B1873" s="12"/>
      <c r="C1873" s="12"/>
      <c r="D1873" s="12"/>
      <c r="E1873" s="12"/>
      <c r="F1873" s="12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</row>
    <row r="1874">
      <c r="A1874" s="16"/>
      <c r="B1874" s="12"/>
      <c r="C1874" s="12"/>
      <c r="D1874" s="12"/>
      <c r="E1874" s="12"/>
      <c r="F1874" s="12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</row>
    <row r="1875">
      <c r="A1875" s="16"/>
      <c r="B1875" s="12"/>
      <c r="C1875" s="12"/>
      <c r="D1875" s="12"/>
      <c r="E1875" s="12"/>
      <c r="F1875" s="12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</row>
    <row r="1876">
      <c r="A1876" s="16"/>
      <c r="B1876" s="12"/>
      <c r="C1876" s="12"/>
      <c r="D1876" s="12"/>
      <c r="E1876" s="12"/>
      <c r="F1876" s="12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</row>
    <row r="1877">
      <c r="A1877" s="16"/>
      <c r="B1877" s="12"/>
      <c r="C1877" s="12"/>
      <c r="D1877" s="12"/>
      <c r="E1877" s="12"/>
      <c r="F1877" s="12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</row>
    <row r="1878">
      <c r="A1878" s="16"/>
      <c r="B1878" s="12"/>
      <c r="C1878" s="12"/>
      <c r="D1878" s="12"/>
      <c r="E1878" s="12"/>
      <c r="F1878" s="12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</row>
    <row r="1879">
      <c r="A1879" s="16"/>
      <c r="B1879" s="12"/>
      <c r="C1879" s="12"/>
      <c r="D1879" s="12"/>
      <c r="E1879" s="12"/>
      <c r="F1879" s="12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</row>
    <row r="1880">
      <c r="A1880" s="16"/>
      <c r="B1880" s="12"/>
      <c r="C1880" s="12"/>
      <c r="D1880" s="12"/>
      <c r="E1880" s="12"/>
      <c r="F1880" s="12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</row>
    <row r="1881">
      <c r="A1881" s="16"/>
      <c r="B1881" s="12"/>
      <c r="C1881" s="12"/>
      <c r="D1881" s="12"/>
      <c r="E1881" s="12"/>
      <c r="F1881" s="12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</row>
    <row r="1882">
      <c r="A1882" s="16"/>
      <c r="B1882" s="12"/>
      <c r="C1882" s="12"/>
      <c r="D1882" s="12"/>
      <c r="E1882" s="12"/>
      <c r="F1882" s="12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</row>
    <row r="1883">
      <c r="A1883" s="16"/>
      <c r="B1883" s="12"/>
      <c r="C1883" s="12"/>
      <c r="D1883" s="12"/>
      <c r="E1883" s="12"/>
      <c r="F1883" s="12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</row>
    <row r="1884">
      <c r="A1884" s="16"/>
      <c r="B1884" s="12"/>
      <c r="C1884" s="12"/>
      <c r="D1884" s="12"/>
      <c r="E1884" s="12"/>
      <c r="F1884" s="12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</row>
    <row r="1885">
      <c r="A1885" s="16"/>
      <c r="B1885" s="12"/>
      <c r="C1885" s="12"/>
      <c r="D1885" s="12"/>
      <c r="E1885" s="12"/>
      <c r="F1885" s="12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</row>
    <row r="1886">
      <c r="A1886" s="16"/>
      <c r="B1886" s="12"/>
      <c r="C1886" s="12"/>
      <c r="D1886" s="12"/>
      <c r="E1886" s="12"/>
      <c r="F1886" s="12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</row>
    <row r="1887">
      <c r="A1887" s="16"/>
      <c r="B1887" s="12"/>
      <c r="C1887" s="12"/>
      <c r="D1887" s="12"/>
      <c r="E1887" s="12"/>
      <c r="F1887" s="12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</row>
    <row r="1888">
      <c r="A1888" s="16"/>
      <c r="B1888" s="12"/>
      <c r="C1888" s="12"/>
      <c r="D1888" s="12"/>
      <c r="E1888" s="12"/>
      <c r="F1888" s="12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</row>
    <row r="1889">
      <c r="A1889" s="16"/>
      <c r="B1889" s="12"/>
      <c r="C1889" s="12"/>
      <c r="D1889" s="12"/>
      <c r="E1889" s="12"/>
      <c r="F1889" s="12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</row>
    <row r="1890">
      <c r="A1890" s="16"/>
      <c r="B1890" s="12"/>
      <c r="C1890" s="12"/>
      <c r="D1890" s="12"/>
      <c r="E1890" s="12"/>
      <c r="F1890" s="12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</row>
    <row r="1891">
      <c r="A1891" s="16"/>
      <c r="B1891" s="12"/>
      <c r="C1891" s="12"/>
      <c r="D1891" s="12"/>
      <c r="E1891" s="12"/>
      <c r="F1891" s="12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</row>
    <row r="1892">
      <c r="A1892" s="16"/>
      <c r="B1892" s="12"/>
      <c r="C1892" s="12"/>
      <c r="D1892" s="12"/>
      <c r="E1892" s="12"/>
      <c r="F1892" s="12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</row>
    <row r="1893">
      <c r="A1893" s="16"/>
      <c r="B1893" s="12"/>
      <c r="C1893" s="12"/>
      <c r="D1893" s="12"/>
      <c r="E1893" s="12"/>
      <c r="F1893" s="12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</row>
    <row r="1894">
      <c r="A1894" s="16"/>
      <c r="B1894" s="12"/>
      <c r="C1894" s="12"/>
      <c r="D1894" s="12"/>
      <c r="E1894" s="12"/>
      <c r="F1894" s="12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</row>
    <row r="1895">
      <c r="A1895" s="16"/>
      <c r="B1895" s="12"/>
      <c r="C1895" s="12"/>
      <c r="D1895" s="12"/>
      <c r="E1895" s="12"/>
      <c r="F1895" s="12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</row>
    <row r="1896">
      <c r="A1896" s="16"/>
      <c r="B1896" s="12"/>
      <c r="C1896" s="12"/>
      <c r="D1896" s="12"/>
      <c r="E1896" s="12"/>
      <c r="F1896" s="12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</row>
    <row r="1897">
      <c r="A1897" s="16"/>
      <c r="B1897" s="12"/>
      <c r="C1897" s="12"/>
      <c r="D1897" s="12"/>
      <c r="E1897" s="12"/>
      <c r="F1897" s="12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</row>
    <row r="1898">
      <c r="A1898" s="16"/>
      <c r="B1898" s="12"/>
      <c r="C1898" s="12"/>
      <c r="D1898" s="12"/>
      <c r="E1898" s="12"/>
      <c r="F1898" s="12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</row>
    <row r="1899">
      <c r="A1899" s="16"/>
      <c r="B1899" s="12"/>
      <c r="C1899" s="12"/>
      <c r="D1899" s="12"/>
      <c r="E1899" s="12"/>
      <c r="F1899" s="12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</row>
    <row r="1900">
      <c r="A1900" s="16"/>
      <c r="B1900" s="12"/>
      <c r="C1900" s="12"/>
      <c r="D1900" s="12"/>
      <c r="E1900" s="12"/>
      <c r="F1900" s="12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</row>
    <row r="1901">
      <c r="A1901" s="16"/>
      <c r="B1901" s="12"/>
      <c r="C1901" s="12"/>
      <c r="D1901" s="12"/>
      <c r="E1901" s="12"/>
      <c r="F1901" s="12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</row>
    <row r="1902">
      <c r="A1902" s="16"/>
      <c r="B1902" s="12"/>
      <c r="C1902" s="12"/>
      <c r="D1902" s="12"/>
      <c r="E1902" s="12"/>
      <c r="F1902" s="12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</row>
    <row r="1903">
      <c r="A1903" s="16"/>
      <c r="B1903" s="12"/>
      <c r="C1903" s="12"/>
      <c r="D1903" s="12"/>
      <c r="E1903" s="12"/>
      <c r="F1903" s="12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</row>
    <row r="1904">
      <c r="A1904" s="16"/>
      <c r="B1904" s="12"/>
      <c r="C1904" s="12"/>
      <c r="D1904" s="12"/>
      <c r="E1904" s="12"/>
      <c r="F1904" s="12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6"/>
    </row>
    <row r="1905">
      <c r="A1905" s="16"/>
      <c r="B1905" s="12"/>
      <c r="C1905" s="12"/>
      <c r="D1905" s="12"/>
      <c r="E1905" s="12"/>
      <c r="F1905" s="12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</row>
    <row r="1906">
      <c r="A1906" s="16"/>
      <c r="B1906" s="12"/>
      <c r="C1906" s="12"/>
      <c r="D1906" s="12"/>
      <c r="E1906" s="12"/>
      <c r="F1906" s="12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</row>
    <row r="1907">
      <c r="A1907" s="16"/>
      <c r="B1907" s="12"/>
      <c r="C1907" s="12"/>
      <c r="D1907" s="12"/>
      <c r="E1907" s="12"/>
      <c r="F1907" s="12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</row>
    <row r="1908">
      <c r="A1908" s="16"/>
      <c r="B1908" s="12"/>
      <c r="C1908" s="12"/>
      <c r="D1908" s="12"/>
      <c r="E1908" s="12"/>
      <c r="F1908" s="12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</row>
    <row r="1909">
      <c r="A1909" s="16"/>
      <c r="B1909" s="12"/>
      <c r="C1909" s="12"/>
      <c r="D1909" s="12"/>
      <c r="E1909" s="12"/>
      <c r="F1909" s="12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</row>
    <row r="1910">
      <c r="A1910" s="16"/>
      <c r="B1910" s="12"/>
      <c r="C1910" s="12"/>
      <c r="D1910" s="12"/>
      <c r="E1910" s="12"/>
      <c r="F1910" s="12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</row>
    <row r="1911">
      <c r="A1911" s="16"/>
      <c r="B1911" s="12"/>
      <c r="C1911" s="12"/>
      <c r="D1911" s="12"/>
      <c r="E1911" s="12"/>
      <c r="F1911" s="12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</row>
    <row r="1912">
      <c r="A1912" s="16"/>
      <c r="B1912" s="12"/>
      <c r="C1912" s="12"/>
      <c r="D1912" s="12"/>
      <c r="E1912" s="12"/>
      <c r="F1912" s="12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</row>
    <row r="1913">
      <c r="A1913" s="16"/>
      <c r="B1913" s="12"/>
      <c r="C1913" s="12"/>
      <c r="D1913" s="12"/>
      <c r="E1913" s="12"/>
      <c r="F1913" s="12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</row>
    <row r="1914">
      <c r="A1914" s="16"/>
      <c r="B1914" s="12"/>
      <c r="C1914" s="12"/>
      <c r="D1914" s="12"/>
      <c r="E1914" s="12"/>
      <c r="F1914" s="12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</row>
    <row r="1915">
      <c r="A1915" s="16"/>
      <c r="B1915" s="12"/>
      <c r="C1915" s="12"/>
      <c r="D1915" s="12"/>
      <c r="E1915" s="12"/>
      <c r="F1915" s="12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</row>
    <row r="1916">
      <c r="A1916" s="16"/>
      <c r="B1916" s="12"/>
      <c r="C1916" s="12"/>
      <c r="D1916" s="12"/>
      <c r="E1916" s="12"/>
      <c r="F1916" s="12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</row>
    <row r="1917">
      <c r="A1917" s="16"/>
      <c r="B1917" s="12"/>
      <c r="C1917" s="12"/>
      <c r="D1917" s="12"/>
      <c r="E1917" s="12"/>
      <c r="F1917" s="12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</row>
    <row r="1918">
      <c r="A1918" s="16"/>
      <c r="B1918" s="12"/>
      <c r="C1918" s="12"/>
      <c r="D1918" s="12"/>
      <c r="E1918" s="12"/>
      <c r="F1918" s="12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</row>
    <row r="1919">
      <c r="A1919" s="16"/>
      <c r="B1919" s="12"/>
      <c r="C1919" s="12"/>
      <c r="D1919" s="12"/>
      <c r="E1919" s="12"/>
      <c r="F1919" s="12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</row>
    <row r="1920">
      <c r="A1920" s="16"/>
      <c r="B1920" s="12"/>
      <c r="C1920" s="12"/>
      <c r="D1920" s="12"/>
      <c r="E1920" s="12"/>
      <c r="F1920" s="12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</row>
    <row r="1921">
      <c r="A1921" s="16"/>
      <c r="B1921" s="12"/>
      <c r="C1921" s="12"/>
      <c r="D1921" s="12"/>
      <c r="E1921" s="12"/>
      <c r="F1921" s="12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</row>
    <row r="1922">
      <c r="A1922" s="16"/>
      <c r="B1922" s="12"/>
      <c r="C1922" s="12"/>
      <c r="D1922" s="12"/>
      <c r="E1922" s="12"/>
      <c r="F1922" s="12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</row>
    <row r="1923">
      <c r="A1923" s="16"/>
      <c r="B1923" s="12"/>
      <c r="C1923" s="12"/>
      <c r="D1923" s="12"/>
      <c r="E1923" s="12"/>
      <c r="F1923" s="12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</row>
    <row r="1924">
      <c r="A1924" s="16"/>
      <c r="B1924" s="12"/>
      <c r="C1924" s="12"/>
      <c r="D1924" s="12"/>
      <c r="E1924" s="12"/>
      <c r="F1924" s="12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</row>
    <row r="1925">
      <c r="A1925" s="16"/>
      <c r="B1925" s="12"/>
      <c r="C1925" s="12"/>
      <c r="D1925" s="12"/>
      <c r="E1925" s="12"/>
      <c r="F1925" s="12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</row>
    <row r="1926">
      <c r="A1926" s="16"/>
      <c r="B1926" s="12"/>
      <c r="C1926" s="12"/>
      <c r="D1926" s="12"/>
      <c r="E1926" s="12"/>
      <c r="F1926" s="12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</row>
    <row r="1927">
      <c r="A1927" s="16"/>
      <c r="B1927" s="12"/>
      <c r="C1927" s="12"/>
      <c r="D1927" s="12"/>
      <c r="E1927" s="12"/>
      <c r="F1927" s="12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</row>
    <row r="1928">
      <c r="A1928" s="16"/>
      <c r="B1928" s="12"/>
      <c r="C1928" s="12"/>
      <c r="D1928" s="12"/>
      <c r="E1928" s="12"/>
      <c r="F1928" s="12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</row>
    <row r="1929">
      <c r="A1929" s="16"/>
      <c r="B1929" s="12"/>
      <c r="C1929" s="12"/>
      <c r="D1929" s="12"/>
      <c r="E1929" s="12"/>
      <c r="F1929" s="12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</row>
    <row r="1930">
      <c r="A1930" s="16"/>
      <c r="B1930" s="12"/>
      <c r="C1930" s="12"/>
      <c r="D1930" s="12"/>
      <c r="E1930" s="12"/>
      <c r="F1930" s="12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</row>
    <row r="1931">
      <c r="A1931" s="16"/>
      <c r="B1931" s="12"/>
      <c r="C1931" s="12"/>
      <c r="D1931" s="12"/>
      <c r="E1931" s="12"/>
      <c r="F1931" s="12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</row>
    <row r="1932">
      <c r="A1932" s="16"/>
      <c r="B1932" s="12"/>
      <c r="C1932" s="12"/>
      <c r="D1932" s="12"/>
      <c r="E1932" s="12"/>
      <c r="F1932" s="12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</row>
    <row r="1933">
      <c r="A1933" s="16"/>
      <c r="B1933" s="12"/>
      <c r="C1933" s="12"/>
      <c r="D1933" s="12"/>
      <c r="E1933" s="12"/>
      <c r="F1933" s="12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</row>
    <row r="1934">
      <c r="A1934" s="16"/>
      <c r="B1934" s="12"/>
      <c r="C1934" s="12"/>
      <c r="D1934" s="12"/>
      <c r="E1934" s="12"/>
      <c r="F1934" s="12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</row>
    <row r="1935">
      <c r="A1935" s="16"/>
      <c r="B1935" s="12"/>
      <c r="C1935" s="12"/>
      <c r="D1935" s="12"/>
      <c r="E1935" s="12"/>
      <c r="F1935" s="12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</row>
    <row r="1936">
      <c r="A1936" s="16"/>
      <c r="B1936" s="12"/>
      <c r="C1936" s="12"/>
      <c r="D1936" s="12"/>
      <c r="E1936" s="12"/>
      <c r="F1936" s="12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</row>
    <row r="1937">
      <c r="A1937" s="16"/>
      <c r="B1937" s="12"/>
      <c r="C1937" s="12"/>
      <c r="D1937" s="12"/>
      <c r="E1937" s="12"/>
      <c r="F1937" s="12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</row>
    <row r="1938">
      <c r="A1938" s="16"/>
      <c r="B1938" s="12"/>
      <c r="C1938" s="12"/>
      <c r="D1938" s="12"/>
      <c r="E1938" s="12"/>
      <c r="F1938" s="12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</row>
    <row r="1939">
      <c r="A1939" s="16"/>
      <c r="B1939" s="12"/>
      <c r="C1939" s="12"/>
      <c r="D1939" s="12"/>
      <c r="E1939" s="12"/>
      <c r="F1939" s="12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6"/>
    </row>
    <row r="1940">
      <c r="A1940" s="16"/>
      <c r="B1940" s="12"/>
      <c r="C1940" s="12"/>
      <c r="D1940" s="12"/>
      <c r="E1940" s="12"/>
      <c r="F1940" s="12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6"/>
    </row>
    <row r="1941">
      <c r="A1941" s="16"/>
      <c r="B1941" s="12"/>
      <c r="C1941" s="12"/>
      <c r="D1941" s="12"/>
      <c r="E1941" s="12"/>
      <c r="F1941" s="12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</row>
    <row r="1942">
      <c r="A1942" s="16"/>
      <c r="B1942" s="12"/>
      <c r="C1942" s="12"/>
      <c r="D1942" s="12"/>
      <c r="E1942" s="12"/>
      <c r="F1942" s="12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</row>
    <row r="1943">
      <c r="A1943" s="16"/>
      <c r="B1943" s="12"/>
      <c r="C1943" s="12"/>
      <c r="D1943" s="12"/>
      <c r="E1943" s="12"/>
      <c r="F1943" s="12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</row>
    <row r="1944">
      <c r="A1944" s="16"/>
      <c r="B1944" s="12"/>
      <c r="C1944" s="12"/>
      <c r="D1944" s="12"/>
      <c r="E1944" s="12"/>
      <c r="F1944" s="12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6"/>
    </row>
    <row r="1945">
      <c r="A1945" s="16"/>
      <c r="B1945" s="12"/>
      <c r="C1945" s="12"/>
      <c r="D1945" s="12"/>
      <c r="E1945" s="12"/>
      <c r="F1945" s="12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</row>
    <row r="1946">
      <c r="A1946" s="16"/>
      <c r="B1946" s="12"/>
      <c r="C1946" s="12"/>
      <c r="D1946" s="12"/>
      <c r="E1946" s="12"/>
      <c r="F1946" s="12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</row>
    <row r="1947">
      <c r="A1947" s="16"/>
      <c r="B1947" s="12"/>
      <c r="C1947" s="12"/>
      <c r="D1947" s="12"/>
      <c r="E1947" s="12"/>
      <c r="F1947" s="12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</row>
    <row r="1948">
      <c r="A1948" s="16"/>
      <c r="B1948" s="12"/>
      <c r="C1948" s="12"/>
      <c r="D1948" s="12"/>
      <c r="E1948" s="12"/>
      <c r="F1948" s="12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</row>
    <row r="1949">
      <c r="A1949" s="16"/>
      <c r="B1949" s="12"/>
      <c r="C1949" s="12"/>
      <c r="D1949" s="12"/>
      <c r="E1949" s="12"/>
      <c r="F1949" s="12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</row>
    <row r="1950">
      <c r="A1950" s="16"/>
      <c r="B1950" s="12"/>
      <c r="C1950" s="12"/>
      <c r="D1950" s="12"/>
      <c r="E1950" s="12"/>
      <c r="F1950" s="12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</row>
    <row r="1951">
      <c r="A1951" s="16"/>
      <c r="B1951" s="12"/>
      <c r="C1951" s="12"/>
      <c r="D1951" s="12"/>
      <c r="E1951" s="12"/>
      <c r="F1951" s="12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</row>
    <row r="1952">
      <c r="A1952" s="16"/>
      <c r="B1952" s="12"/>
      <c r="C1952" s="12"/>
      <c r="D1952" s="12"/>
      <c r="E1952" s="12"/>
      <c r="F1952" s="12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</row>
    <row r="1953">
      <c r="A1953" s="16"/>
      <c r="B1953" s="12"/>
      <c r="C1953" s="12"/>
      <c r="D1953" s="12"/>
      <c r="E1953" s="12"/>
      <c r="F1953" s="12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</row>
    <row r="1954">
      <c r="A1954" s="16"/>
      <c r="B1954" s="12"/>
      <c r="C1954" s="12"/>
      <c r="D1954" s="12"/>
      <c r="E1954" s="12"/>
      <c r="F1954" s="12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</row>
    <row r="1955">
      <c r="A1955" s="16"/>
      <c r="B1955" s="12"/>
      <c r="C1955" s="12"/>
      <c r="D1955" s="12"/>
      <c r="E1955" s="12"/>
      <c r="F1955" s="12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</row>
    <row r="1956">
      <c r="A1956" s="16"/>
      <c r="B1956" s="12"/>
      <c r="C1956" s="12"/>
      <c r="D1956" s="12"/>
      <c r="E1956" s="12"/>
      <c r="F1956" s="12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</row>
    <row r="1957">
      <c r="A1957" s="16"/>
      <c r="B1957" s="12"/>
      <c r="C1957" s="12"/>
      <c r="D1957" s="12"/>
      <c r="E1957" s="12"/>
      <c r="F1957" s="12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</row>
    <row r="1958">
      <c r="A1958" s="16"/>
      <c r="B1958" s="12"/>
      <c r="C1958" s="12"/>
      <c r="D1958" s="12"/>
      <c r="E1958" s="12"/>
      <c r="F1958" s="12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</row>
    <row r="1959">
      <c r="A1959" s="16"/>
      <c r="B1959" s="12"/>
      <c r="C1959" s="12"/>
      <c r="D1959" s="12"/>
      <c r="E1959" s="12"/>
      <c r="F1959" s="12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</row>
    <row r="1960">
      <c r="A1960" s="16"/>
      <c r="B1960" s="12"/>
      <c r="C1960" s="12"/>
      <c r="D1960" s="12"/>
      <c r="E1960" s="12"/>
      <c r="F1960" s="12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6"/>
    </row>
    <row r="1961">
      <c r="A1961" s="16"/>
      <c r="B1961" s="12"/>
      <c r="C1961" s="12"/>
      <c r="D1961" s="12"/>
      <c r="E1961" s="12"/>
      <c r="F1961" s="12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</row>
    <row r="1962">
      <c r="A1962" s="16"/>
      <c r="B1962" s="12"/>
      <c r="C1962" s="12"/>
      <c r="D1962" s="12"/>
      <c r="E1962" s="12"/>
      <c r="F1962" s="12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</row>
    <row r="1963">
      <c r="A1963" s="16"/>
      <c r="B1963" s="12"/>
      <c r="C1963" s="12"/>
      <c r="D1963" s="12"/>
      <c r="E1963" s="12"/>
      <c r="F1963" s="12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</row>
    <row r="1964">
      <c r="A1964" s="16"/>
      <c r="B1964" s="12"/>
      <c r="C1964" s="12"/>
      <c r="D1964" s="12"/>
      <c r="E1964" s="12"/>
      <c r="F1964" s="12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</row>
    <row r="1965">
      <c r="A1965" s="16"/>
      <c r="B1965" s="12"/>
      <c r="C1965" s="12"/>
      <c r="D1965" s="12"/>
      <c r="E1965" s="12"/>
      <c r="F1965" s="12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</row>
    <row r="1966">
      <c r="A1966" s="16"/>
      <c r="B1966" s="12"/>
      <c r="C1966" s="12"/>
      <c r="D1966" s="12"/>
      <c r="E1966" s="12"/>
      <c r="F1966" s="12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</row>
    <row r="1967">
      <c r="A1967" s="16"/>
      <c r="B1967" s="12"/>
      <c r="C1967" s="12"/>
      <c r="D1967" s="12"/>
      <c r="E1967" s="12"/>
      <c r="F1967" s="12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</row>
    <row r="1968">
      <c r="A1968" s="16"/>
      <c r="B1968" s="12"/>
      <c r="C1968" s="12"/>
      <c r="D1968" s="12"/>
      <c r="E1968" s="12"/>
      <c r="F1968" s="12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16"/>
    </row>
    <row r="1969">
      <c r="A1969" s="16"/>
      <c r="B1969" s="12"/>
      <c r="C1969" s="12"/>
      <c r="D1969" s="12"/>
      <c r="E1969" s="12"/>
      <c r="F1969" s="12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</row>
    <row r="1970">
      <c r="A1970" s="16"/>
      <c r="B1970" s="12"/>
      <c r="C1970" s="12"/>
      <c r="D1970" s="12"/>
      <c r="E1970" s="12"/>
      <c r="F1970" s="12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</row>
  </sheetData>
  <conditionalFormatting sqref="D476">
    <cfRule type="expression" dxfId="0" priority="1">
      <formula>COUNTIF($D$1:$D$968,D476)&gt;1</formula>
    </cfRule>
  </conditionalFormatting>
  <conditionalFormatting sqref="D245 D261:D264">
    <cfRule type="expression" dxfId="0" priority="2">
      <formula>COUNTIF($D$1:$D$968,D245)&gt;1</formula>
    </cfRule>
  </conditionalFormatting>
  <conditionalFormatting sqref="D1:D244 D247:D475 D477:D749 D751:D761 D763:D1970 C1022">
    <cfRule type="expression" dxfId="0" priority="3">
      <formula>COUNTIF($D$1:$D$970,D1)&gt;1</formula>
    </cfRule>
  </conditionalFormatting>
  <conditionalFormatting sqref="D531:D532">
    <cfRule type="notContainsBlanks" dxfId="1" priority="4">
      <formula>LEN(TRIM(D531))&gt;0</formula>
    </cfRule>
  </conditionalFormatting>
  <conditionalFormatting sqref="D457">
    <cfRule type="expression" dxfId="0" priority="5">
      <formula>COUNTIF($D$1:$D$1988,D1)&gt;1</formula>
    </cfRule>
  </conditionalFormatting>
  <printOptions gridLines="1" horizontalCentered="1"/>
  <pageMargins bottom="0.75" footer="0.0" header="0.0" left="0.0" right="0.0" top="0.0"/>
  <pageSetup paperSize="9" cellComments="atEnd" orientation="portrait" pageOrder="overThenDown"/>
  <rowBreaks count="4" manualBreakCount="4">
    <brk id="32" man="1"/>
    <brk id="18" man="1"/>
    <brk id="140" man="1"/>
    <brk id="60" man="1"/>
  </rowBreaks>
  <colBreaks count="1" manualBreakCount="1">
    <brk id="6" man="1"/>
  </colBreaks>
  <drawing r:id="rId1"/>
</worksheet>
</file>